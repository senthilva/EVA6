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nthilvinayagam/Desktop/"/>
    </mc:Choice>
  </mc:AlternateContent>
  <xr:revisionPtr revIDLastSave="0" documentId="8_{4D49B907-7B7A-4549-AFE8-199D8E1DCE14}" xr6:coauthVersionLast="47" xr6:coauthVersionMax="47" xr10:uidLastSave="{00000000-0000-0000-0000-000000000000}"/>
  <bookViews>
    <workbookView xWindow="0" yWindow="500" windowWidth="35840" windowHeight="20480" xr2:uid="{10AD8CEE-7886-0E4E-AA0D-7CF3B956E6E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5" i="1" l="1"/>
  <c r="J35" i="1" s="1"/>
  <c r="K35" i="1"/>
  <c r="L35" i="1" s="1"/>
  <c r="K29" i="1"/>
  <c r="L29" i="1" s="1"/>
  <c r="I29" i="1"/>
  <c r="J29" i="1" s="1"/>
  <c r="Q29" i="1" l="1"/>
  <c r="R29" i="1" s="1"/>
  <c r="U29" i="1" s="1"/>
  <c r="S29" i="1"/>
  <c r="T29" i="1" s="1"/>
  <c r="V29" i="1" s="1"/>
  <c r="S35" i="1"/>
  <c r="T35" i="1" s="1"/>
  <c r="Q35" i="1"/>
  <c r="R35" i="1" s="1"/>
  <c r="W29" i="1" l="1"/>
  <c r="V35" i="1"/>
  <c r="AE35" i="1"/>
  <c r="P36" i="1" s="1"/>
  <c r="AD35" i="1"/>
  <c r="O36" i="1" s="1"/>
  <c r="U35" i="1"/>
  <c r="Y35" i="1"/>
  <c r="F36" i="1" s="1"/>
  <c r="AC35" i="1"/>
  <c r="N36" i="1" s="1"/>
  <c r="AB35" i="1"/>
  <c r="M36" i="1" s="1"/>
  <c r="AA35" i="1"/>
  <c r="H36" i="1" s="1"/>
  <c r="Z35" i="1"/>
  <c r="G36" i="1" s="1"/>
  <c r="X35" i="1"/>
  <c r="E36" i="1" s="1"/>
  <c r="I36" i="1" l="1"/>
  <c r="J36" i="1" s="1"/>
  <c r="W35" i="1"/>
  <c r="K36" i="1"/>
  <c r="L36" i="1" s="1"/>
  <c r="Q36" i="1" l="1"/>
  <c r="R36" i="1" s="1"/>
  <c r="AB36" i="1" s="1"/>
  <c r="M37" i="1" s="1"/>
  <c r="S36" i="1"/>
  <c r="T36" i="1" s="1"/>
  <c r="X36" i="1" l="1"/>
  <c r="E37" i="1" s="1"/>
  <c r="AC36" i="1"/>
  <c r="N37" i="1" s="1"/>
  <c r="U36" i="1"/>
  <c r="V36" i="1"/>
  <c r="W36" i="1" s="1"/>
  <c r="AD36" i="1"/>
  <c r="O37" i="1" s="1"/>
  <c r="AE36" i="1"/>
  <c r="P37" i="1" s="1"/>
  <c r="Y36" i="1"/>
  <c r="F37" i="1" s="1"/>
  <c r="Z36" i="1"/>
  <c r="G37" i="1" s="1"/>
  <c r="AA36" i="1"/>
  <c r="H37" i="1" s="1"/>
  <c r="I37" i="1" l="1"/>
  <c r="J37" i="1" s="1"/>
  <c r="K37" i="1"/>
  <c r="L37" i="1" s="1"/>
  <c r="Q37" i="1" s="1"/>
  <c r="R37" i="1" s="1"/>
  <c r="AB37" i="1" l="1"/>
  <c r="M38" i="1" s="1"/>
  <c r="AC37" i="1"/>
  <c r="N38" i="1" s="1"/>
  <c r="U37" i="1"/>
  <c r="S37" i="1"/>
  <c r="T37" i="1" s="1"/>
  <c r="Y37" i="1" l="1"/>
  <c r="F38" i="1" s="1"/>
  <c r="AD37" i="1"/>
  <c r="O38" i="1" s="1"/>
  <c r="AE37" i="1"/>
  <c r="P38" i="1" s="1"/>
  <c r="V37" i="1"/>
  <c r="W37" i="1" s="1"/>
  <c r="Z37" i="1"/>
  <c r="G38" i="1" s="1"/>
  <c r="AA37" i="1"/>
  <c r="H38" i="1" s="1"/>
  <c r="X37" i="1"/>
  <c r="E38" i="1" s="1"/>
  <c r="I38" i="1" l="1"/>
  <c r="J38" i="1" s="1"/>
  <c r="K38" i="1"/>
  <c r="L38" i="1" s="1"/>
  <c r="Q38" i="1" l="1"/>
  <c r="R38" i="1" s="1"/>
  <c r="AC38" i="1" s="1"/>
  <c r="N39" i="1" s="1"/>
  <c r="S38" i="1"/>
  <c r="T38" i="1" s="1"/>
  <c r="Y38" i="1" l="1"/>
  <c r="F39" i="1" s="1"/>
  <c r="U38" i="1"/>
  <c r="AB38" i="1"/>
  <c r="M39" i="1" s="1"/>
  <c r="AE38" i="1"/>
  <c r="P39" i="1" s="1"/>
  <c r="AD38" i="1"/>
  <c r="O39" i="1" s="1"/>
  <c r="V38" i="1"/>
  <c r="Z38" i="1"/>
  <c r="G39" i="1" s="1"/>
  <c r="AA38" i="1"/>
  <c r="H39" i="1" s="1"/>
  <c r="X38" i="1"/>
  <c r="E39" i="1" s="1"/>
  <c r="W38" i="1" l="1"/>
  <c r="I39" i="1"/>
  <c r="J39" i="1" s="1"/>
  <c r="K39" i="1"/>
  <c r="L39" i="1" s="1"/>
  <c r="Q39" i="1" s="1"/>
  <c r="R39" i="1" s="1"/>
  <c r="U39" i="1" l="1"/>
  <c r="AB39" i="1"/>
  <c r="M40" i="1" s="1"/>
  <c r="AC39" i="1"/>
  <c r="N40" i="1" s="1"/>
  <c r="S39" i="1"/>
  <c r="T39" i="1" s="1"/>
  <c r="Y39" i="1" s="1"/>
  <c r="F40" i="1" s="1"/>
  <c r="AD39" i="1" l="1"/>
  <c r="O40" i="1" s="1"/>
  <c r="V39" i="1"/>
  <c r="W39" i="1" s="1"/>
  <c r="AE39" i="1"/>
  <c r="P40" i="1" s="1"/>
  <c r="X39" i="1"/>
  <c r="E40" i="1" s="1"/>
  <c r="AA39" i="1"/>
  <c r="H40" i="1" s="1"/>
  <c r="Z39" i="1"/>
  <c r="G40" i="1" s="1"/>
  <c r="I40" i="1" l="1"/>
  <c r="J40" i="1" s="1"/>
  <c r="K40" i="1"/>
  <c r="L40" i="1" s="1"/>
  <c r="S40" i="1" l="1"/>
  <c r="T40" i="1" s="1"/>
  <c r="Q40" i="1"/>
  <c r="R40" i="1" s="1"/>
  <c r="AC40" i="1" l="1"/>
  <c r="N41" i="1" s="1"/>
  <c r="AB40" i="1"/>
  <c r="M41" i="1" s="1"/>
  <c r="Y40" i="1"/>
  <c r="F41" i="1" s="1"/>
  <c r="U40" i="1"/>
  <c r="X40" i="1"/>
  <c r="E41" i="1" s="1"/>
  <c r="Z40" i="1"/>
  <c r="G41" i="1" s="1"/>
  <c r="AA40" i="1"/>
  <c r="H41" i="1" s="1"/>
  <c r="AD40" i="1"/>
  <c r="O41" i="1" s="1"/>
  <c r="V40" i="1"/>
  <c r="AE40" i="1"/>
  <c r="P41" i="1" s="1"/>
  <c r="K41" i="1" l="1"/>
  <c r="L41" i="1" s="1"/>
  <c r="W40" i="1"/>
  <c r="I41" i="1"/>
  <c r="J41" i="1" s="1"/>
  <c r="Q41" i="1" l="1"/>
  <c r="R41" i="1" s="1"/>
  <c r="AB41" i="1" s="1"/>
  <c r="M42" i="1" s="1"/>
  <c r="S41" i="1"/>
  <c r="T41" i="1" s="1"/>
  <c r="U41" i="1" l="1"/>
  <c r="AC41" i="1"/>
  <c r="N42" i="1" s="1"/>
  <c r="Y41" i="1"/>
  <c r="F42" i="1" s="1"/>
  <c r="AD41" i="1"/>
  <c r="O42" i="1" s="1"/>
  <c r="AE41" i="1"/>
  <c r="P42" i="1" s="1"/>
  <c r="V41" i="1"/>
  <c r="W41" i="1" s="1"/>
  <c r="Z41" i="1"/>
  <c r="G42" i="1" s="1"/>
  <c r="X41" i="1"/>
  <c r="E42" i="1" s="1"/>
  <c r="AA41" i="1"/>
  <c r="H42" i="1" s="1"/>
  <c r="I42" i="1" l="1"/>
  <c r="J42" i="1" s="1"/>
  <c r="K42" i="1"/>
  <c r="L42" i="1" s="1"/>
  <c r="Q42" i="1" s="1"/>
  <c r="R42" i="1" s="1"/>
  <c r="U42" i="1" l="1"/>
  <c r="AB42" i="1"/>
  <c r="M43" i="1" s="1"/>
  <c r="AC42" i="1"/>
  <c r="N43" i="1" s="1"/>
  <c r="S42" i="1"/>
  <c r="T42" i="1" s="1"/>
  <c r="AD42" i="1" l="1"/>
  <c r="O43" i="1" s="1"/>
  <c r="AE42" i="1"/>
  <c r="P43" i="1" s="1"/>
  <c r="V42" i="1"/>
  <c r="W42" i="1" s="1"/>
  <c r="X42" i="1"/>
  <c r="E43" i="1" s="1"/>
  <c r="Y42" i="1"/>
  <c r="F43" i="1" s="1"/>
  <c r="AA42" i="1"/>
  <c r="H43" i="1" s="1"/>
  <c r="Z42" i="1"/>
  <c r="G43" i="1" s="1"/>
  <c r="K43" i="1" l="1"/>
  <c r="L43" i="1" s="1"/>
  <c r="I43" i="1"/>
  <c r="J43" i="1" s="1"/>
  <c r="S43" i="1" l="1"/>
  <c r="T43" i="1" s="1"/>
  <c r="Q43" i="1"/>
  <c r="R43" i="1" s="1"/>
  <c r="X43" i="1" l="1"/>
  <c r="E44" i="1" s="1"/>
  <c r="Y43" i="1"/>
  <c r="F44" i="1" s="1"/>
  <c r="Z43" i="1"/>
  <c r="G44" i="1" s="1"/>
  <c r="U43" i="1"/>
  <c r="AC43" i="1"/>
  <c r="N44" i="1" s="1"/>
  <c r="AA43" i="1"/>
  <c r="H44" i="1" s="1"/>
  <c r="AB43" i="1"/>
  <c r="M44" i="1" s="1"/>
  <c r="AE43" i="1"/>
  <c r="P44" i="1" s="1"/>
  <c r="V43" i="1"/>
  <c r="AD43" i="1"/>
  <c r="O44" i="1" s="1"/>
  <c r="K44" i="1" l="1"/>
  <c r="L44" i="1" s="1"/>
  <c r="W43" i="1"/>
  <c r="I44" i="1"/>
  <c r="J44" i="1" s="1"/>
  <c r="S44" i="1" s="1"/>
  <c r="T44" i="1" s="1"/>
  <c r="V44" i="1" l="1"/>
  <c r="AD44" i="1"/>
  <c r="O45" i="1" s="1"/>
  <c r="AE44" i="1"/>
  <c r="P45" i="1" s="1"/>
  <c r="Q44" i="1"/>
  <c r="R44" i="1" s="1"/>
  <c r="U44" i="1" l="1"/>
  <c r="W44" i="1" s="1"/>
  <c r="Y44" i="1"/>
  <c r="F45" i="1" s="1"/>
  <c r="AC44" i="1"/>
  <c r="N45" i="1" s="1"/>
  <c r="X44" i="1"/>
  <c r="E45" i="1" s="1"/>
  <c r="AA44" i="1"/>
  <c r="H45" i="1" s="1"/>
  <c r="Z44" i="1"/>
  <c r="G45" i="1" s="1"/>
  <c r="AB44" i="1"/>
  <c r="M45" i="1" s="1"/>
  <c r="K45" i="1" l="1"/>
  <c r="L45" i="1" s="1"/>
  <c r="I45" i="1"/>
  <c r="J45" i="1" s="1"/>
  <c r="S45" i="1" s="1"/>
  <c r="T45" i="1" s="1"/>
  <c r="V45" i="1" l="1"/>
  <c r="AD45" i="1"/>
  <c r="O46" i="1" s="1"/>
  <c r="AE45" i="1"/>
  <c r="P46" i="1" s="1"/>
  <c r="Q45" i="1"/>
  <c r="R45" i="1" s="1"/>
  <c r="AC45" i="1" l="1"/>
  <c r="N46" i="1" s="1"/>
  <c r="U45" i="1"/>
  <c r="W45" i="1" s="1"/>
  <c r="Y45" i="1"/>
  <c r="F46" i="1" s="1"/>
  <c r="Z45" i="1"/>
  <c r="G46" i="1" s="1"/>
  <c r="X45" i="1"/>
  <c r="E46" i="1" s="1"/>
  <c r="AA45" i="1"/>
  <c r="H46" i="1" s="1"/>
  <c r="AB45" i="1"/>
  <c r="M46" i="1" s="1"/>
  <c r="I46" i="1" l="1"/>
  <c r="J46" i="1" s="1"/>
  <c r="K46" i="1"/>
  <c r="L46" i="1" s="1"/>
  <c r="S46" i="1" s="1"/>
  <c r="T46" i="1" s="1"/>
  <c r="AD46" i="1" l="1"/>
  <c r="O47" i="1" s="1"/>
  <c r="V46" i="1"/>
  <c r="AE46" i="1"/>
  <c r="P47" i="1" s="1"/>
  <c r="Q46" i="1"/>
  <c r="R46" i="1" s="1"/>
  <c r="Y46" i="1" l="1"/>
  <c r="F47" i="1" s="1"/>
  <c r="Z46" i="1"/>
  <c r="G47" i="1" s="1"/>
  <c r="AA46" i="1"/>
  <c r="H47" i="1" s="1"/>
  <c r="AB46" i="1"/>
  <c r="M47" i="1" s="1"/>
  <c r="X46" i="1"/>
  <c r="E47" i="1" s="1"/>
  <c r="I47" i="1" s="1"/>
  <c r="J47" i="1" s="1"/>
  <c r="U46" i="1"/>
  <c r="W46" i="1" s="1"/>
  <c r="AC46" i="1"/>
  <c r="N47" i="1" s="1"/>
  <c r="K47" i="1" l="1"/>
  <c r="L47" i="1" s="1"/>
  <c r="S47" i="1" s="1"/>
  <c r="T47" i="1" s="1"/>
  <c r="Q47" i="1" l="1"/>
  <c r="R47" i="1" s="1"/>
  <c r="X47" i="1" s="1"/>
  <c r="E48" i="1" s="1"/>
  <c r="AE47" i="1"/>
  <c r="P48" i="1" s="1"/>
  <c r="V47" i="1"/>
  <c r="AD47" i="1"/>
  <c r="O48" i="1" s="1"/>
  <c r="U47" i="1"/>
  <c r="AB47" i="1"/>
  <c r="M48" i="1" s="1"/>
  <c r="AC47" i="1"/>
  <c r="N48" i="1" s="1"/>
  <c r="AA47" i="1"/>
  <c r="H48" i="1" s="1"/>
  <c r="Z47" i="1" l="1"/>
  <c r="G48" i="1" s="1"/>
  <c r="Y47" i="1"/>
  <c r="F48" i="1" s="1"/>
  <c r="I48" i="1" s="1"/>
  <c r="J48" i="1" s="1"/>
  <c r="K48" i="1"/>
  <c r="L48" i="1" s="1"/>
  <c r="W47" i="1"/>
  <c r="Q48" i="1" l="1"/>
  <c r="R48" i="1" s="1"/>
  <c r="S48" i="1"/>
  <c r="T48" i="1" s="1"/>
  <c r="AE48" i="1" l="1"/>
  <c r="P49" i="1" s="1"/>
  <c r="AD48" i="1"/>
  <c r="O49" i="1" s="1"/>
  <c r="V48" i="1"/>
  <c r="Z48" i="1"/>
  <c r="G49" i="1" s="1"/>
  <c r="X48" i="1"/>
  <c r="E49" i="1" s="1"/>
  <c r="Y48" i="1"/>
  <c r="F49" i="1" s="1"/>
  <c r="AA48" i="1"/>
  <c r="H49" i="1" s="1"/>
  <c r="AB48" i="1"/>
  <c r="M49" i="1" s="1"/>
  <c r="AC48" i="1"/>
  <c r="N49" i="1" s="1"/>
  <c r="U48" i="1"/>
  <c r="I49" i="1" l="1"/>
  <c r="J49" i="1" s="1"/>
  <c r="K49" i="1"/>
  <c r="L49" i="1" s="1"/>
  <c r="Q49" i="1" s="1"/>
  <c r="R49" i="1" s="1"/>
  <c r="W48" i="1"/>
  <c r="AC49" i="1" l="1"/>
  <c r="N50" i="1" s="1"/>
  <c r="AB49" i="1"/>
  <c r="M50" i="1" s="1"/>
  <c r="U49" i="1"/>
  <c r="S49" i="1"/>
  <c r="T49" i="1" s="1"/>
  <c r="Z49" i="1" s="1"/>
  <c r="G50" i="1" s="1"/>
  <c r="X49" i="1" l="1"/>
  <c r="E50" i="1" s="1"/>
  <c r="AA49" i="1"/>
  <c r="H50" i="1" s="1"/>
  <c r="K50" i="1" s="1"/>
  <c r="L50" i="1" s="1"/>
  <c r="AE49" i="1"/>
  <c r="P50" i="1" s="1"/>
  <c r="V49" i="1"/>
  <c r="W49" i="1" s="1"/>
  <c r="AD49" i="1"/>
  <c r="O50" i="1" s="1"/>
  <c r="Y49" i="1"/>
  <c r="F50" i="1" s="1"/>
  <c r="I50" i="1" l="1"/>
  <c r="J50" i="1" s="1"/>
  <c r="Q50" i="1" s="1"/>
  <c r="R50" i="1" s="1"/>
  <c r="AC50" i="1" l="1"/>
  <c r="N51" i="1" s="1"/>
  <c r="U50" i="1"/>
  <c r="AB50" i="1"/>
  <c r="M51" i="1" s="1"/>
  <c r="S50" i="1"/>
  <c r="T50" i="1" s="1"/>
  <c r="Y50" i="1" l="1"/>
  <c r="F51" i="1" s="1"/>
  <c r="AE50" i="1"/>
  <c r="P51" i="1" s="1"/>
  <c r="V50" i="1"/>
  <c r="W50" i="1" s="1"/>
  <c r="AD50" i="1"/>
  <c r="O51" i="1" s="1"/>
  <c r="Z50" i="1"/>
  <c r="G51" i="1" s="1"/>
  <c r="X50" i="1"/>
  <c r="E51" i="1" s="1"/>
  <c r="I51" i="1" s="1"/>
  <c r="J51" i="1" s="1"/>
  <c r="AA50" i="1"/>
  <c r="H51" i="1" s="1"/>
  <c r="K51" i="1" l="1"/>
  <c r="L51" i="1" s="1"/>
  <c r="Q51" i="1" s="1"/>
  <c r="R51" i="1" s="1"/>
  <c r="S51" i="1" l="1"/>
  <c r="T51" i="1" s="1"/>
  <c r="AC51" i="1"/>
  <c r="N52" i="1" s="1"/>
  <c r="U51" i="1"/>
  <c r="AB51" i="1"/>
  <c r="M52" i="1" s="1"/>
  <c r="X51" i="1"/>
  <c r="E52" i="1" s="1"/>
  <c r="AD51" i="1"/>
  <c r="O52" i="1" s="1"/>
  <c r="V51" i="1"/>
  <c r="AE51" i="1"/>
  <c r="P52" i="1" s="1"/>
  <c r="AA51" i="1"/>
  <c r="H52" i="1" s="1"/>
  <c r="Z51" i="1"/>
  <c r="G52" i="1" s="1"/>
  <c r="Y51" i="1"/>
  <c r="F52" i="1" s="1"/>
  <c r="I52" i="1" l="1"/>
  <c r="J52" i="1" s="1"/>
  <c r="W51" i="1"/>
  <c r="K52" i="1"/>
  <c r="L52" i="1" s="1"/>
  <c r="Q52" i="1" s="1"/>
  <c r="R52" i="1" s="1"/>
  <c r="S52" i="1" l="1"/>
  <c r="T52" i="1" s="1"/>
  <c r="AD52" i="1" s="1"/>
  <c r="O53" i="1" s="1"/>
  <c r="AE52" i="1"/>
  <c r="P53" i="1" s="1"/>
  <c r="V52" i="1"/>
  <c r="U52" i="1"/>
  <c r="AC52" i="1"/>
  <c r="N53" i="1" s="1"/>
  <c r="AB52" i="1"/>
  <c r="M53" i="1" s="1"/>
  <c r="AA52" i="1"/>
  <c r="H53" i="1" s="1"/>
  <c r="Z52" i="1"/>
  <c r="G53" i="1" s="1"/>
  <c r="X52" i="1"/>
  <c r="E53" i="1" s="1"/>
  <c r="Y52" i="1"/>
  <c r="F53" i="1" s="1"/>
  <c r="W52" i="1" l="1"/>
  <c r="K53" i="1"/>
  <c r="L53" i="1" s="1"/>
  <c r="I53" i="1"/>
  <c r="J53" i="1" s="1"/>
  <c r="S53" i="1" l="1"/>
  <c r="T53" i="1" s="1"/>
  <c r="Q53" i="1"/>
  <c r="R53" i="1" s="1"/>
  <c r="Y53" i="1" s="1"/>
  <c r="F54" i="1" s="1"/>
  <c r="V53" i="1"/>
  <c r="AD53" i="1"/>
  <c r="O54" i="1" s="1"/>
  <c r="AE53" i="1"/>
  <c r="P54" i="1" s="1"/>
  <c r="X53" i="1" l="1"/>
  <c r="E54" i="1" s="1"/>
  <c r="AB53" i="1"/>
  <c r="M54" i="1" s="1"/>
  <c r="AA53" i="1"/>
  <c r="H54" i="1" s="1"/>
  <c r="AC53" i="1"/>
  <c r="N54" i="1" s="1"/>
  <c r="U53" i="1"/>
  <c r="W53" i="1" s="1"/>
  <c r="Z53" i="1"/>
  <c r="G54" i="1" s="1"/>
  <c r="K54" i="1" s="1"/>
  <c r="L54" i="1" s="1"/>
  <c r="I54" i="1"/>
  <c r="J54" i="1" s="1"/>
  <c r="Q54" i="1" l="1"/>
  <c r="R54" i="1" s="1"/>
  <c r="U54" i="1" s="1"/>
  <c r="S54" i="1"/>
  <c r="T54" i="1" s="1"/>
  <c r="AE54" i="1" s="1"/>
  <c r="P55" i="1" s="1"/>
  <c r="AC54" i="1" l="1"/>
  <c r="N55" i="1" s="1"/>
  <c r="X54" i="1"/>
  <c r="E55" i="1" s="1"/>
  <c r="V54" i="1"/>
  <c r="W54" i="1" s="1"/>
  <c r="AD54" i="1"/>
  <c r="O55" i="1" s="1"/>
  <c r="AB54" i="1"/>
  <c r="M55" i="1" s="1"/>
  <c r="Z54" i="1"/>
  <c r="G55" i="1" s="1"/>
  <c r="K55" i="1" s="1"/>
  <c r="L55" i="1" s="1"/>
  <c r="AA54" i="1"/>
  <c r="H55" i="1" s="1"/>
  <c r="Y54" i="1"/>
  <c r="F55" i="1" s="1"/>
  <c r="I55" i="1" l="1"/>
  <c r="J55" i="1" s="1"/>
  <c r="Q55" i="1"/>
  <c r="R55" i="1" s="1"/>
  <c r="AC55" i="1" s="1"/>
  <c r="N56" i="1" s="1"/>
  <c r="U55" i="1"/>
  <c r="S55" i="1"/>
  <c r="T55" i="1" s="1"/>
  <c r="X55" i="1" s="1"/>
  <c r="E56" i="1" s="1"/>
  <c r="AB55" i="1" l="1"/>
  <c r="M56" i="1" s="1"/>
  <c r="AE55" i="1"/>
  <c r="P56" i="1" s="1"/>
  <c r="V55" i="1"/>
  <c r="W55" i="1" s="1"/>
  <c r="AD55" i="1"/>
  <c r="O56" i="1" s="1"/>
  <c r="Z55" i="1"/>
  <c r="G56" i="1" s="1"/>
  <c r="Y55" i="1"/>
  <c r="F56" i="1" s="1"/>
  <c r="I56" i="1" s="1"/>
  <c r="J56" i="1" s="1"/>
  <c r="AA55" i="1"/>
  <c r="H56" i="1" s="1"/>
  <c r="K56" i="1" l="1"/>
  <c r="L56" i="1" s="1"/>
  <c r="Q56" i="1"/>
  <c r="R56" i="1" s="1"/>
  <c r="S56" i="1"/>
  <c r="T56" i="1" s="1"/>
  <c r="V56" i="1" s="1"/>
  <c r="Z56" i="1" l="1"/>
  <c r="G57" i="1" s="1"/>
  <c r="X56" i="1"/>
  <c r="E57" i="1" s="1"/>
  <c r="AA56" i="1"/>
  <c r="H57" i="1" s="1"/>
  <c r="Y56" i="1"/>
  <c r="F57" i="1" s="1"/>
  <c r="AD56" i="1"/>
  <c r="O57" i="1" s="1"/>
  <c r="AE56" i="1"/>
  <c r="P57" i="1" s="1"/>
  <c r="AC56" i="1"/>
  <c r="N57" i="1" s="1"/>
  <c r="U56" i="1"/>
  <c r="W56" i="1" s="1"/>
  <c r="AB56" i="1"/>
  <c r="M57" i="1" s="1"/>
  <c r="I57" i="1"/>
  <c r="J57" i="1" s="1"/>
  <c r="K57" i="1"/>
  <c r="L57" i="1" s="1"/>
  <c r="S57" i="1" l="1"/>
  <c r="T57" i="1" s="1"/>
  <c r="V57" i="1"/>
  <c r="AD57" i="1"/>
  <c r="O58" i="1" s="1"/>
  <c r="AE57" i="1"/>
  <c r="P58" i="1" s="1"/>
  <c r="Q57" i="1"/>
  <c r="R57" i="1" s="1"/>
  <c r="Y57" i="1" l="1"/>
  <c r="F58" i="1" s="1"/>
  <c r="AA57" i="1"/>
  <c r="H58" i="1" s="1"/>
  <c r="Z57" i="1"/>
  <c r="G58" i="1" s="1"/>
  <c r="AC57" i="1"/>
  <c r="N58" i="1" s="1"/>
  <c r="U57" i="1"/>
  <c r="W57" i="1" s="1"/>
  <c r="X57" i="1"/>
  <c r="E58" i="1" s="1"/>
  <c r="I58" i="1" s="1"/>
  <c r="J58" i="1" s="1"/>
  <c r="AB57" i="1"/>
  <c r="M58" i="1" s="1"/>
  <c r="K58" i="1" l="1"/>
  <c r="L58" i="1" s="1"/>
  <c r="S58" i="1" s="1"/>
  <c r="T58" i="1" s="1"/>
  <c r="Q58" i="1" l="1"/>
  <c r="R58" i="1" s="1"/>
  <c r="AC58" i="1" s="1"/>
  <c r="N59" i="1" s="1"/>
  <c r="V58" i="1"/>
  <c r="AD58" i="1"/>
  <c r="O59" i="1" s="1"/>
  <c r="AE58" i="1"/>
  <c r="P59" i="1" s="1"/>
  <c r="AB58" i="1"/>
  <c r="M59" i="1" s="1"/>
  <c r="Y58" i="1" l="1"/>
  <c r="F59" i="1" s="1"/>
  <c r="Z58" i="1"/>
  <c r="G59" i="1" s="1"/>
  <c r="U58" i="1"/>
  <c r="W58" i="1" s="1"/>
  <c r="AA58" i="1"/>
  <c r="H59" i="1" s="1"/>
  <c r="K59" i="1" s="1"/>
  <c r="L59" i="1" s="1"/>
  <c r="X58" i="1"/>
  <c r="E59" i="1" s="1"/>
  <c r="I59" i="1" s="1"/>
  <c r="J59" i="1" s="1"/>
  <c r="S59" i="1" l="1"/>
  <c r="T59" i="1" s="1"/>
  <c r="AE59" i="1"/>
  <c r="P60" i="1" s="1"/>
  <c r="V59" i="1"/>
  <c r="AD59" i="1"/>
  <c r="O60" i="1" s="1"/>
  <c r="Q59" i="1"/>
  <c r="R59" i="1" s="1"/>
  <c r="AB59" i="1" l="1"/>
  <c r="M60" i="1" s="1"/>
  <c r="U59" i="1"/>
  <c r="W59" i="1" s="1"/>
  <c r="AC59" i="1"/>
  <c r="N60" i="1" s="1"/>
  <c r="X59" i="1"/>
  <c r="E60" i="1" s="1"/>
  <c r="Z59" i="1"/>
  <c r="G60" i="1" s="1"/>
  <c r="AA59" i="1"/>
  <c r="H60" i="1" s="1"/>
  <c r="Y59" i="1"/>
  <c r="F60" i="1" s="1"/>
  <c r="K60" i="1" l="1"/>
  <c r="L60" i="1" s="1"/>
  <c r="I60" i="1"/>
  <c r="J60" i="1" s="1"/>
  <c r="S60" i="1" s="1"/>
  <c r="T60" i="1" s="1"/>
  <c r="Q60" i="1" l="1"/>
  <c r="R60" i="1" s="1"/>
  <c r="Y60" i="1" s="1"/>
  <c r="F61" i="1" s="1"/>
  <c r="AE60" i="1"/>
  <c r="P61" i="1" s="1"/>
  <c r="AD60" i="1"/>
  <c r="O61" i="1" s="1"/>
  <c r="V60" i="1"/>
  <c r="AC60" i="1"/>
  <c r="N61" i="1" s="1"/>
  <c r="AA60" i="1"/>
  <c r="H61" i="1" s="1"/>
  <c r="Z60" i="1"/>
  <c r="G61" i="1" s="1"/>
  <c r="AB60" i="1"/>
  <c r="M61" i="1" s="1"/>
  <c r="X60" i="1" l="1"/>
  <c r="E61" i="1" s="1"/>
  <c r="I61" i="1" s="1"/>
  <c r="J61" i="1" s="1"/>
  <c r="U60" i="1"/>
  <c r="W60" i="1" s="1"/>
  <c r="K61" i="1"/>
  <c r="L61" i="1" s="1"/>
  <c r="Q61" i="1" s="1"/>
  <c r="R61" i="1" s="1"/>
  <c r="S61" i="1" l="1"/>
  <c r="T61" i="1" s="1"/>
  <c r="Z61" i="1"/>
  <c r="G62" i="1" s="1"/>
  <c r="AA61" i="1"/>
  <c r="H62" i="1" s="1"/>
  <c r="AB61" i="1"/>
  <c r="M62" i="1" s="1"/>
  <c r="Y61" i="1"/>
  <c r="F62" i="1" s="1"/>
  <c r="X61" i="1"/>
  <c r="E62" i="1" s="1"/>
  <c r="I62" i="1" s="1"/>
  <c r="J62" i="1" s="1"/>
  <c r="AC61" i="1"/>
  <c r="N62" i="1" s="1"/>
  <c r="U61" i="1"/>
  <c r="AD61" i="1"/>
  <c r="O62" i="1" s="1"/>
  <c r="AE61" i="1"/>
  <c r="P62" i="1" s="1"/>
  <c r="V61" i="1"/>
  <c r="W61" i="1" l="1"/>
  <c r="K62" i="1"/>
  <c r="L62" i="1" s="1"/>
  <c r="S62" i="1" s="1"/>
  <c r="T62" i="1" s="1"/>
  <c r="AD62" i="1" l="1"/>
  <c r="O63" i="1" s="1"/>
  <c r="V62" i="1"/>
  <c r="AE62" i="1"/>
  <c r="P63" i="1" s="1"/>
  <c r="Q62" i="1"/>
  <c r="R62" i="1" s="1"/>
  <c r="AB62" i="1" l="1"/>
  <c r="M63" i="1" s="1"/>
  <c r="AC62" i="1"/>
  <c r="N63" i="1" s="1"/>
  <c r="U62" i="1"/>
  <c r="Z62" i="1"/>
  <c r="G63" i="1" s="1"/>
  <c r="Y62" i="1"/>
  <c r="F63" i="1" s="1"/>
  <c r="X62" i="1"/>
  <c r="E63" i="1" s="1"/>
  <c r="W62" i="1"/>
  <c r="AA62" i="1"/>
  <c r="H63" i="1" s="1"/>
  <c r="I63" i="1" l="1"/>
  <c r="J63" i="1" s="1"/>
  <c r="K63" i="1"/>
  <c r="L63" i="1" s="1"/>
  <c r="Q63" i="1" s="1"/>
  <c r="R63" i="1" s="1"/>
  <c r="AB63" i="1" l="1"/>
  <c r="M64" i="1" s="1"/>
  <c r="AC63" i="1"/>
  <c r="N64" i="1" s="1"/>
  <c r="U63" i="1"/>
  <c r="S63" i="1"/>
  <c r="T63" i="1" s="1"/>
  <c r="X63" i="1" s="1"/>
  <c r="E64" i="1" s="1"/>
  <c r="AE63" i="1" l="1"/>
  <c r="P64" i="1" s="1"/>
  <c r="AD63" i="1"/>
  <c r="O64" i="1" s="1"/>
  <c r="V63" i="1"/>
  <c r="Y63" i="1"/>
  <c r="F64" i="1" s="1"/>
  <c r="I64" i="1" s="1"/>
  <c r="J64" i="1" s="1"/>
  <c r="Z63" i="1"/>
  <c r="G64" i="1" s="1"/>
  <c r="AA63" i="1"/>
  <c r="H64" i="1" s="1"/>
  <c r="W63" i="1"/>
  <c r="K64" i="1" l="1"/>
  <c r="L64" i="1" s="1"/>
  <c r="Q64" i="1"/>
  <c r="R64" i="1" s="1"/>
  <c r="AC64" i="1" s="1"/>
  <c r="N65" i="1" s="1"/>
  <c r="S64" i="1"/>
  <c r="T64" i="1" s="1"/>
  <c r="Z64" i="1" l="1"/>
  <c r="G65" i="1" s="1"/>
  <c r="U64" i="1"/>
  <c r="AB64" i="1"/>
  <c r="M65" i="1" s="1"/>
  <c r="AD64" i="1"/>
  <c r="O65" i="1" s="1"/>
  <c r="AE64" i="1"/>
  <c r="P65" i="1" s="1"/>
  <c r="V64" i="1"/>
  <c r="AA64" i="1"/>
  <c r="H65" i="1" s="1"/>
  <c r="X64" i="1"/>
  <c r="E65" i="1" s="1"/>
  <c r="Y64" i="1"/>
  <c r="F65" i="1" s="1"/>
  <c r="K65" i="1" l="1"/>
  <c r="L65" i="1" s="1"/>
  <c r="W64" i="1"/>
  <c r="I65" i="1"/>
  <c r="J65" i="1" s="1"/>
  <c r="S65" i="1" s="1"/>
  <c r="T65" i="1" s="1"/>
  <c r="Q65" i="1"/>
  <c r="R65" i="1" s="1"/>
  <c r="AD65" i="1" l="1"/>
  <c r="O66" i="1" s="1"/>
  <c r="AE65" i="1"/>
  <c r="P66" i="1" s="1"/>
  <c r="V65" i="1"/>
  <c r="AC65" i="1"/>
  <c r="N66" i="1" s="1"/>
  <c r="Z65" i="1"/>
  <c r="G66" i="1" s="1"/>
  <c r="AB65" i="1"/>
  <c r="M66" i="1" s="1"/>
  <c r="Y65" i="1"/>
  <c r="F66" i="1" s="1"/>
  <c r="X65" i="1"/>
  <c r="E66" i="1" s="1"/>
  <c r="AA65" i="1"/>
  <c r="H66" i="1" s="1"/>
  <c r="U65" i="1"/>
  <c r="W65" i="1" l="1"/>
  <c r="I66" i="1"/>
  <c r="J66" i="1" s="1"/>
  <c r="K66" i="1"/>
  <c r="L66" i="1" s="1"/>
  <c r="S66" i="1" s="1"/>
  <c r="T66" i="1" s="1"/>
  <c r="Q66" i="1" l="1"/>
  <c r="R66" i="1" s="1"/>
  <c r="AB66" i="1" s="1"/>
  <c r="M67" i="1" s="1"/>
  <c r="V66" i="1"/>
  <c r="AD66" i="1"/>
  <c r="O67" i="1" s="1"/>
  <c r="AE66" i="1"/>
  <c r="P67" i="1" s="1"/>
  <c r="Z66" i="1"/>
  <c r="G67" i="1" s="1"/>
  <c r="U66" i="1"/>
  <c r="W66" i="1" s="1"/>
  <c r="X66" i="1"/>
  <c r="E67" i="1" s="1"/>
  <c r="Y66" i="1"/>
  <c r="F67" i="1" s="1"/>
  <c r="AA66" i="1" l="1"/>
  <c r="H67" i="1" s="1"/>
  <c r="AC66" i="1"/>
  <c r="N67" i="1" s="1"/>
  <c r="I67" i="1"/>
  <c r="J67" i="1" s="1"/>
  <c r="K67" i="1"/>
  <c r="L67" i="1" s="1"/>
  <c r="Q67" i="1" l="1"/>
  <c r="R67" i="1" s="1"/>
  <c r="S67" i="1"/>
  <c r="T67" i="1" s="1"/>
  <c r="V67" i="1" s="1"/>
  <c r="U67" i="1"/>
  <c r="AB67" i="1"/>
  <c r="M68" i="1" s="1"/>
  <c r="AC67" i="1"/>
  <c r="N68" i="1" s="1"/>
  <c r="X67" i="1"/>
  <c r="E68" i="1" s="1"/>
  <c r="AA67" i="1"/>
  <c r="H68" i="1" s="1"/>
  <c r="Z67" i="1"/>
  <c r="G68" i="1" s="1"/>
  <c r="Y67" i="1"/>
  <c r="F68" i="1" s="1"/>
  <c r="I68" i="1" l="1"/>
  <c r="J68" i="1" s="1"/>
  <c r="W67" i="1"/>
  <c r="AD67" i="1"/>
  <c r="O68" i="1" s="1"/>
  <c r="AE67" i="1"/>
  <c r="P68" i="1" s="1"/>
  <c r="K68" i="1"/>
  <c r="L68" i="1" s="1"/>
  <c r="S68" i="1" s="1"/>
  <c r="T68" i="1" s="1"/>
  <c r="Q68" i="1" l="1"/>
  <c r="R68" i="1" s="1"/>
  <c r="AC68" i="1"/>
  <c r="N69" i="1" s="1"/>
  <c r="U68" i="1"/>
  <c r="AB68" i="1"/>
  <c r="M69" i="1" s="1"/>
  <c r="Z68" i="1"/>
  <c r="G69" i="1" s="1"/>
  <c r="Y68" i="1"/>
  <c r="F69" i="1" s="1"/>
  <c r="X68" i="1"/>
  <c r="E69" i="1" s="1"/>
  <c r="AA68" i="1"/>
  <c r="H69" i="1" s="1"/>
  <c r="V68" i="1"/>
  <c r="AD68" i="1"/>
  <c r="O69" i="1" s="1"/>
  <c r="AE68" i="1"/>
  <c r="P69" i="1" s="1"/>
  <c r="I69" i="1" l="1"/>
  <c r="J69" i="1" s="1"/>
  <c r="K69" i="1"/>
  <c r="L69" i="1" s="1"/>
  <c r="W68" i="1"/>
  <c r="S69" i="1" l="1"/>
  <c r="T69" i="1" s="1"/>
  <c r="V69" i="1"/>
  <c r="AE69" i="1"/>
  <c r="P70" i="1" s="1"/>
  <c r="AD69" i="1"/>
  <c r="O70" i="1" s="1"/>
  <c r="Q69" i="1"/>
  <c r="R69" i="1" s="1"/>
  <c r="AB69" i="1" l="1"/>
  <c r="M70" i="1" s="1"/>
  <c r="AC69" i="1"/>
  <c r="N70" i="1" s="1"/>
  <c r="U69" i="1"/>
  <c r="Y69" i="1"/>
  <c r="F70" i="1" s="1"/>
  <c r="X69" i="1"/>
  <c r="E70" i="1" s="1"/>
  <c r="I70" i="1" s="1"/>
  <c r="J70" i="1" s="1"/>
  <c r="Z69" i="1"/>
  <c r="G70" i="1" s="1"/>
  <c r="W69" i="1"/>
  <c r="AA69" i="1"/>
  <c r="H70" i="1" s="1"/>
  <c r="K70" i="1" l="1"/>
  <c r="L70" i="1" s="1"/>
  <c r="S70" i="1" s="1"/>
  <c r="T70" i="1" s="1"/>
  <c r="Q70" i="1"/>
  <c r="R70" i="1" s="1"/>
  <c r="AE70" i="1" l="1"/>
  <c r="P71" i="1" s="1"/>
  <c r="V70" i="1"/>
  <c r="AD70" i="1"/>
  <c r="O71" i="1" s="1"/>
  <c r="AA70" i="1"/>
  <c r="H71" i="1" s="1"/>
  <c r="AC70" i="1"/>
  <c r="N71" i="1" s="1"/>
  <c r="U70" i="1"/>
  <c r="W70" i="1" s="1"/>
  <c r="AB70" i="1"/>
  <c r="M71" i="1" s="1"/>
  <c r="X70" i="1"/>
  <c r="E71" i="1" s="1"/>
  <c r="Y70" i="1"/>
  <c r="F71" i="1" s="1"/>
  <c r="Z70" i="1"/>
  <c r="G71" i="1" s="1"/>
  <c r="K71" i="1" l="1"/>
  <c r="L71" i="1" s="1"/>
  <c r="I71" i="1"/>
  <c r="J71" i="1" s="1"/>
  <c r="S71" i="1" s="1"/>
  <c r="T71" i="1" s="1"/>
  <c r="AD71" i="1" l="1"/>
  <c r="O72" i="1" s="1"/>
  <c r="V71" i="1"/>
  <c r="AE71" i="1"/>
  <c r="P72" i="1" s="1"/>
  <c r="Q71" i="1"/>
  <c r="R71" i="1" s="1"/>
  <c r="X71" i="1" l="1"/>
  <c r="E72" i="1" s="1"/>
  <c r="Z71" i="1"/>
  <c r="G72" i="1" s="1"/>
  <c r="AC71" i="1"/>
  <c r="N72" i="1" s="1"/>
  <c r="AB71" i="1"/>
  <c r="M72" i="1" s="1"/>
  <c r="U71" i="1"/>
  <c r="W71" i="1" s="1"/>
  <c r="Y71" i="1"/>
  <c r="F72" i="1" s="1"/>
  <c r="AA71" i="1"/>
  <c r="H72" i="1" s="1"/>
  <c r="K72" i="1" l="1"/>
  <c r="L72" i="1" s="1"/>
  <c r="I72" i="1"/>
  <c r="J72" i="1" s="1"/>
  <c r="S72" i="1" s="1"/>
  <c r="T72" i="1" s="1"/>
  <c r="Q72" i="1" l="1"/>
  <c r="R72" i="1" s="1"/>
  <c r="X72" i="1"/>
  <c r="E73" i="1" s="1"/>
  <c r="Y72" i="1"/>
  <c r="F73" i="1" s="1"/>
  <c r="U72" i="1"/>
  <c r="AB72" i="1"/>
  <c r="M73" i="1" s="1"/>
  <c r="AA72" i="1"/>
  <c r="H73" i="1" s="1"/>
  <c r="Z72" i="1"/>
  <c r="G73" i="1" s="1"/>
  <c r="AC72" i="1"/>
  <c r="N73" i="1" s="1"/>
  <c r="AD72" i="1"/>
  <c r="O73" i="1" s="1"/>
  <c r="AE72" i="1"/>
  <c r="P73" i="1" s="1"/>
  <c r="V72" i="1"/>
  <c r="K73" i="1" l="1"/>
  <c r="L73" i="1" s="1"/>
  <c r="W72" i="1"/>
  <c r="I73" i="1"/>
  <c r="J73" i="1" s="1"/>
  <c r="Q73" i="1" s="1"/>
  <c r="R73" i="1" s="1"/>
  <c r="AB73" i="1" l="1"/>
  <c r="M74" i="1" s="1"/>
  <c r="AC73" i="1"/>
  <c r="N74" i="1" s="1"/>
  <c r="U73" i="1"/>
  <c r="S73" i="1"/>
  <c r="T73" i="1" s="1"/>
  <c r="Z73" i="1" s="1"/>
  <c r="G74" i="1" s="1"/>
  <c r="V73" i="1" l="1"/>
  <c r="W73" i="1" s="1"/>
  <c r="AE73" i="1"/>
  <c r="P74" i="1" s="1"/>
  <c r="AD73" i="1"/>
  <c r="O74" i="1" s="1"/>
  <c r="AA73" i="1"/>
  <c r="H74" i="1" s="1"/>
  <c r="K74" i="1" s="1"/>
  <c r="L74" i="1" s="1"/>
  <c r="Y73" i="1"/>
  <c r="F74" i="1" s="1"/>
  <c r="X73" i="1"/>
  <c r="E74" i="1" s="1"/>
  <c r="I74" i="1" l="1"/>
  <c r="J74" i="1" s="1"/>
  <c r="Q74" i="1" s="1"/>
  <c r="R74" i="1" s="1"/>
  <c r="S74" i="1"/>
  <c r="T74" i="1" s="1"/>
  <c r="AD74" i="1" l="1"/>
  <c r="O75" i="1" s="1"/>
  <c r="AE74" i="1"/>
  <c r="P75" i="1" s="1"/>
  <c r="V74" i="1"/>
  <c r="AB74" i="1"/>
  <c r="M75" i="1" s="1"/>
  <c r="AC74" i="1"/>
  <c r="N75" i="1" s="1"/>
  <c r="U74" i="1"/>
  <c r="W74" i="1" s="1"/>
  <c r="AA74" i="1"/>
  <c r="H75" i="1" s="1"/>
  <c r="Z74" i="1"/>
  <c r="G75" i="1" s="1"/>
  <c r="X74" i="1"/>
  <c r="E75" i="1" s="1"/>
  <c r="Y74" i="1"/>
  <c r="F75" i="1" s="1"/>
  <c r="K75" i="1" l="1"/>
  <c r="L75" i="1" s="1"/>
  <c r="I75" i="1"/>
  <c r="J75" i="1" s="1"/>
  <c r="Q75" i="1" s="1"/>
  <c r="R75" i="1" s="1"/>
  <c r="S75" i="1" l="1"/>
  <c r="T75" i="1" s="1"/>
  <c r="Y75" i="1"/>
  <c r="F76" i="1" s="1"/>
  <c r="AE75" i="1"/>
  <c r="P76" i="1" s="1"/>
  <c r="AD75" i="1"/>
  <c r="O76" i="1" s="1"/>
  <c r="V75" i="1"/>
  <c r="AC75" i="1"/>
  <c r="N76" i="1" s="1"/>
  <c r="AB75" i="1"/>
  <c r="M76" i="1" s="1"/>
  <c r="U75" i="1"/>
  <c r="AA75" i="1"/>
  <c r="H76" i="1" s="1"/>
  <c r="X75" i="1"/>
  <c r="E76" i="1" s="1"/>
  <c r="Z75" i="1"/>
  <c r="G76" i="1" s="1"/>
  <c r="I76" i="1" l="1"/>
  <c r="J76" i="1" s="1"/>
  <c r="K76" i="1"/>
  <c r="L76" i="1" s="1"/>
  <c r="W75" i="1"/>
  <c r="Q76" i="1" l="1"/>
  <c r="R76" i="1" s="1"/>
  <c r="AC76" i="1" s="1"/>
  <c r="N77" i="1" s="1"/>
  <c r="S76" i="1"/>
  <c r="T76" i="1" s="1"/>
  <c r="AB76" i="1"/>
  <c r="M77" i="1" s="1"/>
  <c r="U76" i="1"/>
  <c r="X76" i="1"/>
  <c r="E77" i="1" s="1"/>
  <c r="AE76" i="1"/>
  <c r="P77" i="1" s="1"/>
  <c r="AD76" i="1"/>
  <c r="O77" i="1" s="1"/>
  <c r="V76" i="1"/>
  <c r="W76" i="1" s="1"/>
  <c r="AA76" i="1"/>
  <c r="H77" i="1" s="1"/>
  <c r="Y76" i="1"/>
  <c r="F77" i="1" s="1"/>
  <c r="Z76" i="1"/>
  <c r="G77" i="1" s="1"/>
  <c r="K77" i="1" s="1"/>
  <c r="L77" i="1" s="1"/>
  <c r="I77" i="1" l="1"/>
  <c r="J77" i="1" s="1"/>
  <c r="S77" i="1" s="1"/>
  <c r="T77" i="1" s="1"/>
  <c r="Q77" i="1"/>
  <c r="R77" i="1" s="1"/>
  <c r="AD77" i="1" l="1"/>
  <c r="O78" i="1" s="1"/>
  <c r="AE77" i="1"/>
  <c r="P78" i="1" s="1"/>
  <c r="V77" i="1"/>
  <c r="AB77" i="1"/>
  <c r="M78" i="1" s="1"/>
  <c r="AC77" i="1"/>
  <c r="N78" i="1" s="1"/>
  <c r="U77" i="1"/>
  <c r="W77" i="1" s="1"/>
  <c r="AA77" i="1"/>
  <c r="H78" i="1" s="1"/>
  <c r="Y77" i="1"/>
  <c r="F78" i="1" s="1"/>
  <c r="X77" i="1"/>
  <c r="E78" i="1" s="1"/>
  <c r="Z77" i="1"/>
  <c r="G78" i="1" s="1"/>
  <c r="K78" i="1" l="1"/>
  <c r="L78" i="1" s="1"/>
  <c r="I78" i="1"/>
  <c r="J78" i="1" s="1"/>
  <c r="S78" i="1" s="1"/>
  <c r="T78" i="1" s="1"/>
  <c r="Q78" i="1" l="1"/>
  <c r="R78" i="1" s="1"/>
  <c r="AD78" i="1"/>
  <c r="O79" i="1" s="1"/>
  <c r="AE78" i="1"/>
  <c r="P79" i="1" s="1"/>
  <c r="V78" i="1"/>
  <c r="Z78" i="1"/>
  <c r="G79" i="1" s="1"/>
  <c r="AA78" i="1"/>
  <c r="H79" i="1" s="1"/>
  <c r="AB78" i="1"/>
  <c r="M79" i="1" s="1"/>
  <c r="U78" i="1"/>
  <c r="W78" i="1" s="1"/>
  <c r="Y78" i="1"/>
  <c r="F79" i="1" s="1"/>
  <c r="AC78" i="1"/>
  <c r="N79" i="1" s="1"/>
  <c r="X78" i="1"/>
  <c r="E79" i="1" s="1"/>
  <c r="I79" i="1" s="1"/>
  <c r="J79" i="1" s="1"/>
  <c r="K79" i="1" l="1"/>
  <c r="L79" i="1" s="1"/>
  <c r="Q79" i="1" s="1"/>
  <c r="R79" i="1" s="1"/>
  <c r="S79" i="1" l="1"/>
  <c r="T79" i="1" s="1"/>
  <c r="AD79" i="1"/>
  <c r="O80" i="1" s="1"/>
  <c r="AE79" i="1"/>
  <c r="P80" i="1" s="1"/>
  <c r="V79" i="1"/>
  <c r="X79" i="1"/>
  <c r="E80" i="1" s="1"/>
  <c r="AB79" i="1"/>
  <c r="M80" i="1" s="1"/>
  <c r="AC79" i="1"/>
  <c r="N80" i="1" s="1"/>
  <c r="U79" i="1"/>
  <c r="Z79" i="1"/>
  <c r="G80" i="1" s="1"/>
  <c r="Y79" i="1"/>
  <c r="F80" i="1" s="1"/>
  <c r="AA79" i="1"/>
  <c r="H80" i="1" s="1"/>
  <c r="K80" i="1" l="1"/>
  <c r="L80" i="1" s="1"/>
  <c r="I80" i="1"/>
  <c r="J80" i="1" s="1"/>
  <c r="Q80" i="1" s="1"/>
  <c r="R80" i="1" s="1"/>
  <c r="W79" i="1"/>
  <c r="S80" i="1" l="1"/>
  <c r="T80" i="1" s="1"/>
  <c r="V80" i="1"/>
  <c r="AD80" i="1"/>
  <c r="O81" i="1" s="1"/>
  <c r="AE80" i="1"/>
  <c r="P81" i="1" s="1"/>
  <c r="U80" i="1"/>
  <c r="W80" i="1" s="1"/>
  <c r="AB80" i="1"/>
  <c r="M81" i="1" s="1"/>
  <c r="AC80" i="1"/>
  <c r="N81" i="1" s="1"/>
  <c r="AA80" i="1"/>
  <c r="H81" i="1" s="1"/>
  <c r="Y80" i="1"/>
  <c r="F81" i="1" s="1"/>
  <c r="Z80" i="1"/>
  <c r="G81" i="1" s="1"/>
  <c r="X80" i="1"/>
  <c r="E81" i="1" s="1"/>
  <c r="I81" i="1" s="1"/>
  <c r="J81" i="1" s="1"/>
  <c r="K81" i="1" l="1"/>
  <c r="L81" i="1" s="1"/>
  <c r="S81" i="1"/>
  <c r="T81" i="1" s="1"/>
  <c r="Q81" i="1"/>
  <c r="R81" i="1" s="1"/>
  <c r="AC81" i="1" l="1"/>
  <c r="N82" i="1" s="1"/>
  <c r="U81" i="1"/>
  <c r="Y81" i="1"/>
  <c r="F82" i="1" s="1"/>
  <c r="Z81" i="1"/>
  <c r="G82" i="1" s="1"/>
  <c r="AB81" i="1"/>
  <c r="M82" i="1" s="1"/>
  <c r="AA81" i="1"/>
  <c r="H82" i="1" s="1"/>
  <c r="X81" i="1"/>
  <c r="E82" i="1" s="1"/>
  <c r="I82" i="1" s="1"/>
  <c r="J82" i="1" s="1"/>
  <c r="AD81" i="1"/>
  <c r="O82" i="1" s="1"/>
  <c r="AE81" i="1"/>
  <c r="P82" i="1" s="1"/>
  <c r="V81" i="1"/>
  <c r="W81" i="1" l="1"/>
  <c r="K82" i="1"/>
  <c r="L82" i="1" s="1"/>
  <c r="Q82" i="1" s="1"/>
  <c r="R82" i="1" s="1"/>
  <c r="AB82" i="1" l="1"/>
  <c r="M83" i="1" s="1"/>
  <c r="U82" i="1"/>
  <c r="AC82" i="1"/>
  <c r="N83" i="1" s="1"/>
  <c r="S82" i="1"/>
  <c r="T82" i="1" s="1"/>
  <c r="X82" i="1" s="1"/>
  <c r="E83" i="1" s="1"/>
  <c r="AE82" i="1" l="1"/>
  <c r="P83" i="1" s="1"/>
  <c r="V82" i="1"/>
  <c r="AD82" i="1"/>
  <c r="O83" i="1" s="1"/>
  <c r="AA82" i="1"/>
  <c r="H83" i="1" s="1"/>
  <c r="W82" i="1"/>
  <c r="Y82" i="1"/>
  <c r="F83" i="1" s="1"/>
  <c r="I83" i="1" s="1"/>
  <c r="J83" i="1" s="1"/>
  <c r="Z82" i="1"/>
  <c r="G83" i="1" s="1"/>
  <c r="K83" i="1" s="1"/>
  <c r="L83" i="1" s="1"/>
  <c r="Q83" i="1" l="1"/>
  <c r="R83" i="1" s="1"/>
  <c r="AC83" i="1"/>
  <c r="N84" i="1" s="1"/>
  <c r="AB83" i="1"/>
  <c r="M84" i="1" s="1"/>
  <c r="U83" i="1"/>
  <c r="S83" i="1"/>
  <c r="T83" i="1" s="1"/>
  <c r="V83" i="1" l="1"/>
  <c r="AD83" i="1"/>
  <c r="O84" i="1" s="1"/>
  <c r="AE83" i="1"/>
  <c r="P84" i="1" s="1"/>
  <c r="W83" i="1"/>
  <c r="Y83" i="1"/>
  <c r="F84" i="1" s="1"/>
  <c r="Z83" i="1"/>
  <c r="G84" i="1" s="1"/>
  <c r="AA83" i="1"/>
  <c r="H84" i="1" s="1"/>
  <c r="X83" i="1"/>
  <c r="E84" i="1" s="1"/>
  <c r="I84" i="1" s="1"/>
  <c r="J84" i="1" s="1"/>
  <c r="K84" i="1" l="1"/>
  <c r="L84" i="1" s="1"/>
  <c r="S84" i="1"/>
  <c r="T84" i="1" s="1"/>
  <c r="Q84" i="1"/>
  <c r="R84" i="1" s="1"/>
  <c r="U84" i="1" l="1"/>
  <c r="AC84" i="1"/>
  <c r="N85" i="1" s="1"/>
  <c r="AB84" i="1"/>
  <c r="M85" i="1" s="1"/>
  <c r="X84" i="1"/>
  <c r="E85" i="1" s="1"/>
  <c r="Y84" i="1"/>
  <c r="F85" i="1" s="1"/>
  <c r="AA84" i="1"/>
  <c r="H85" i="1" s="1"/>
  <c r="Z84" i="1"/>
  <c r="G85" i="1" s="1"/>
  <c r="V84" i="1"/>
  <c r="AE84" i="1"/>
  <c r="P85" i="1" s="1"/>
  <c r="AD84" i="1"/>
  <c r="O85" i="1" s="1"/>
  <c r="K85" i="1" l="1"/>
  <c r="L85" i="1" s="1"/>
  <c r="I85" i="1"/>
  <c r="J85" i="1" s="1"/>
  <c r="S85" i="1" s="1"/>
  <c r="T85" i="1" s="1"/>
  <c r="W84" i="1"/>
  <c r="AD85" i="1" l="1"/>
  <c r="O86" i="1" s="1"/>
  <c r="V85" i="1"/>
  <c r="AE85" i="1"/>
  <c r="P86" i="1" s="1"/>
  <c r="Q85" i="1"/>
  <c r="R85" i="1" s="1"/>
  <c r="AC85" i="1" l="1"/>
  <c r="N86" i="1" s="1"/>
  <c r="Y85" i="1"/>
  <c r="F86" i="1" s="1"/>
  <c r="U85" i="1"/>
  <c r="W85" i="1" s="1"/>
  <c r="Z85" i="1"/>
  <c r="G86" i="1" s="1"/>
  <c r="AA85" i="1"/>
  <c r="H86" i="1" s="1"/>
  <c r="AB85" i="1"/>
  <c r="M86" i="1" s="1"/>
  <c r="X85" i="1"/>
  <c r="E86" i="1" s="1"/>
  <c r="I86" i="1" s="1"/>
  <c r="J86" i="1" s="1"/>
  <c r="K86" i="1" l="1"/>
  <c r="L86" i="1" s="1"/>
  <c r="S86" i="1" s="1"/>
  <c r="T86" i="1" s="1"/>
  <c r="AD86" i="1" l="1"/>
  <c r="O87" i="1" s="1"/>
  <c r="AE86" i="1"/>
  <c r="P87" i="1" s="1"/>
  <c r="V86" i="1"/>
  <c r="Q86" i="1"/>
  <c r="R86" i="1" s="1"/>
  <c r="Z86" i="1" l="1"/>
  <c r="G87" i="1" s="1"/>
  <c r="AB86" i="1"/>
  <c r="M87" i="1" s="1"/>
  <c r="X86" i="1"/>
  <c r="E87" i="1" s="1"/>
  <c r="AA86" i="1"/>
  <c r="H87" i="1" s="1"/>
  <c r="AC86" i="1"/>
  <c r="N87" i="1" s="1"/>
  <c r="U86" i="1"/>
  <c r="W86" i="1" s="1"/>
  <c r="Y86" i="1"/>
  <c r="F87" i="1" s="1"/>
  <c r="I87" i="1" l="1"/>
  <c r="J87" i="1" s="1"/>
  <c r="K87" i="1"/>
  <c r="L87" i="1" s="1"/>
  <c r="Q87" i="1" s="1"/>
  <c r="R87" i="1" s="1"/>
  <c r="AB87" i="1" l="1"/>
  <c r="M88" i="1" s="1"/>
  <c r="U87" i="1"/>
  <c r="AC87" i="1"/>
  <c r="N88" i="1" s="1"/>
  <c r="S87" i="1"/>
  <c r="T87" i="1" s="1"/>
  <c r="V87" i="1" l="1"/>
  <c r="AE87" i="1"/>
  <c r="P88" i="1" s="1"/>
  <c r="AD87" i="1"/>
  <c r="O88" i="1" s="1"/>
  <c r="Y87" i="1"/>
  <c r="F88" i="1" s="1"/>
  <c r="W87" i="1"/>
  <c r="X87" i="1"/>
  <c r="E88" i="1" s="1"/>
  <c r="I88" i="1" s="1"/>
  <c r="J88" i="1" s="1"/>
  <c r="Z87" i="1"/>
  <c r="G88" i="1" s="1"/>
  <c r="AA87" i="1"/>
  <c r="H88" i="1" s="1"/>
  <c r="K88" i="1" l="1"/>
  <c r="L88" i="1" s="1"/>
  <c r="Q88" i="1" s="1"/>
  <c r="R88" i="1" s="1"/>
  <c r="U88" i="1"/>
  <c r="AB88" i="1"/>
  <c r="M89" i="1" s="1"/>
  <c r="AC88" i="1"/>
  <c r="N89" i="1" s="1"/>
  <c r="S88" i="1"/>
  <c r="T88" i="1" s="1"/>
  <c r="V88" i="1" l="1"/>
  <c r="AD88" i="1"/>
  <c r="O89" i="1" s="1"/>
  <c r="AE88" i="1"/>
  <c r="P89" i="1" s="1"/>
  <c r="Y88" i="1"/>
  <c r="F89" i="1" s="1"/>
  <c r="AA88" i="1"/>
  <c r="H89" i="1" s="1"/>
  <c r="X88" i="1"/>
  <c r="E89" i="1" s="1"/>
  <c r="I89" i="1" s="1"/>
  <c r="J89" i="1" s="1"/>
  <c r="Z88" i="1"/>
  <c r="G89" i="1" s="1"/>
  <c r="K89" i="1" s="1"/>
  <c r="L89" i="1" s="1"/>
  <c r="W88" i="1"/>
  <c r="Q89" i="1" l="1"/>
  <c r="R89" i="1" s="1"/>
  <c r="AC89" i="1"/>
  <c r="N90" i="1" s="1"/>
  <c r="U89" i="1"/>
  <c r="AB89" i="1"/>
  <c r="M90" i="1" s="1"/>
  <c r="S89" i="1"/>
  <c r="T89" i="1" s="1"/>
  <c r="X89" i="1" s="1"/>
  <c r="E90" i="1" s="1"/>
  <c r="AD89" i="1" l="1"/>
  <c r="O90" i="1" s="1"/>
  <c r="AE89" i="1"/>
  <c r="P90" i="1" s="1"/>
  <c r="V89" i="1"/>
  <c r="Y89" i="1"/>
  <c r="F90" i="1" s="1"/>
  <c r="I90" i="1" s="1"/>
  <c r="J90" i="1" s="1"/>
  <c r="AA89" i="1"/>
  <c r="H90" i="1" s="1"/>
  <c r="Z89" i="1"/>
  <c r="G90" i="1" s="1"/>
  <c r="K90" i="1" s="1"/>
  <c r="L90" i="1" s="1"/>
  <c r="W89" i="1"/>
  <c r="S90" i="1" l="1"/>
  <c r="T90" i="1" s="1"/>
  <c r="Q90" i="1"/>
  <c r="R90" i="1" s="1"/>
  <c r="AA90" i="1" l="1"/>
  <c r="H91" i="1" s="1"/>
  <c r="U90" i="1"/>
  <c r="AB90" i="1"/>
  <c r="M91" i="1" s="1"/>
  <c r="AC90" i="1"/>
  <c r="N91" i="1" s="1"/>
  <c r="Y90" i="1"/>
  <c r="F91" i="1" s="1"/>
  <c r="Z90" i="1"/>
  <c r="G91" i="1" s="1"/>
  <c r="K91" i="1" s="1"/>
  <c r="L91" i="1" s="1"/>
  <c r="X90" i="1"/>
  <c r="E91" i="1" s="1"/>
  <c r="I91" i="1" s="1"/>
  <c r="J91" i="1" s="1"/>
  <c r="AD90" i="1"/>
  <c r="O91" i="1" s="1"/>
  <c r="V90" i="1"/>
  <c r="AE90" i="1"/>
  <c r="P91" i="1" s="1"/>
  <c r="Q91" i="1" l="1"/>
  <c r="R91" i="1" s="1"/>
  <c r="U91" i="1"/>
  <c r="AC91" i="1"/>
  <c r="N92" i="1" s="1"/>
  <c r="AB91" i="1"/>
  <c r="M92" i="1" s="1"/>
  <c r="W90" i="1"/>
  <c r="S91" i="1"/>
  <c r="T91" i="1" s="1"/>
  <c r="Z91" i="1" s="1"/>
  <c r="G92" i="1" s="1"/>
  <c r="AD91" i="1" l="1"/>
  <c r="O92" i="1" s="1"/>
  <c r="AE91" i="1"/>
  <c r="P92" i="1" s="1"/>
  <c r="V91" i="1"/>
  <c r="AA91" i="1"/>
  <c r="H92" i="1" s="1"/>
  <c r="K92" i="1" s="1"/>
  <c r="L92" i="1" s="1"/>
  <c r="W91" i="1"/>
  <c r="Y91" i="1"/>
  <c r="F92" i="1" s="1"/>
  <c r="X91" i="1"/>
  <c r="E92" i="1" s="1"/>
  <c r="I92" i="1" l="1"/>
  <c r="J92" i="1" s="1"/>
  <c r="Q92" i="1" s="1"/>
  <c r="R92" i="1" s="1"/>
  <c r="U92" i="1" l="1"/>
  <c r="AB92" i="1"/>
  <c r="M93" i="1" s="1"/>
  <c r="AC92" i="1"/>
  <c r="N93" i="1" s="1"/>
  <c r="S92" i="1"/>
  <c r="T92" i="1" s="1"/>
  <c r="V92" i="1" l="1"/>
  <c r="AE92" i="1"/>
  <c r="P93" i="1" s="1"/>
  <c r="AD92" i="1"/>
  <c r="O93" i="1" s="1"/>
  <c r="X92" i="1"/>
  <c r="E93" i="1" s="1"/>
  <c r="AA92" i="1"/>
  <c r="H93" i="1" s="1"/>
  <c r="Z92" i="1"/>
  <c r="G93" i="1" s="1"/>
  <c r="K93" i="1" s="1"/>
  <c r="L93" i="1" s="1"/>
  <c r="Y92" i="1"/>
  <c r="F93" i="1" s="1"/>
  <c r="W92" i="1"/>
  <c r="I93" i="1" l="1"/>
  <c r="J93" i="1" s="1"/>
  <c r="S93" i="1" l="1"/>
  <c r="T93" i="1" s="1"/>
  <c r="Q93" i="1"/>
  <c r="R93" i="1" s="1"/>
  <c r="AC93" i="1" l="1"/>
  <c r="N94" i="1" s="1"/>
  <c r="Z93" i="1"/>
  <c r="G94" i="1" s="1"/>
  <c r="AB93" i="1"/>
  <c r="M94" i="1" s="1"/>
  <c r="U93" i="1"/>
  <c r="Y93" i="1"/>
  <c r="F94" i="1" s="1"/>
  <c r="AA93" i="1"/>
  <c r="H94" i="1" s="1"/>
  <c r="X93" i="1"/>
  <c r="E94" i="1" s="1"/>
  <c r="I94" i="1" s="1"/>
  <c r="J94" i="1" s="1"/>
  <c r="AD93" i="1"/>
  <c r="O94" i="1" s="1"/>
  <c r="AE93" i="1"/>
  <c r="P94" i="1" s="1"/>
  <c r="V93" i="1"/>
  <c r="W93" i="1" l="1"/>
  <c r="K94" i="1"/>
  <c r="L94" i="1" s="1"/>
  <c r="Q94" i="1" s="1"/>
  <c r="R94" i="1" s="1"/>
  <c r="AB94" i="1" l="1"/>
  <c r="M95" i="1" s="1"/>
  <c r="U94" i="1"/>
  <c r="AC94" i="1"/>
  <c r="N95" i="1" s="1"/>
  <c r="S94" i="1"/>
  <c r="T94" i="1" s="1"/>
  <c r="Z94" i="1" s="1"/>
  <c r="G95" i="1" s="1"/>
  <c r="X94" i="1" l="1"/>
  <c r="E95" i="1" s="1"/>
  <c r="AD94" i="1"/>
  <c r="O95" i="1" s="1"/>
  <c r="V94" i="1"/>
  <c r="AE94" i="1"/>
  <c r="P95" i="1" s="1"/>
  <c r="AA94" i="1"/>
  <c r="H95" i="1" s="1"/>
  <c r="K95" i="1" s="1"/>
  <c r="L95" i="1" s="1"/>
  <c r="Y94" i="1"/>
  <c r="F95" i="1" s="1"/>
  <c r="W94" i="1"/>
  <c r="I95" i="1" l="1"/>
  <c r="J95" i="1" s="1"/>
  <c r="Q95" i="1" s="1"/>
  <c r="R95" i="1" s="1"/>
  <c r="U95" i="1" l="1"/>
  <c r="AC95" i="1"/>
  <c r="N96" i="1" s="1"/>
  <c r="AB95" i="1"/>
  <c r="M96" i="1" s="1"/>
  <c r="S95" i="1"/>
  <c r="T95" i="1" s="1"/>
  <c r="X95" i="1" s="1"/>
  <c r="E96" i="1" s="1"/>
  <c r="Y95" i="1" l="1"/>
  <c r="F96" i="1" s="1"/>
  <c r="I96" i="1" s="1"/>
  <c r="J96" i="1" s="1"/>
  <c r="V95" i="1"/>
  <c r="AD95" i="1"/>
  <c r="O96" i="1" s="1"/>
  <c r="AE95" i="1"/>
  <c r="P96" i="1" s="1"/>
  <c r="Z95" i="1"/>
  <c r="G96" i="1" s="1"/>
  <c r="AA95" i="1"/>
  <c r="H96" i="1" s="1"/>
  <c r="W95" i="1"/>
  <c r="K96" i="1" l="1"/>
  <c r="L96" i="1" s="1"/>
  <c r="Q96" i="1" s="1"/>
  <c r="R96" i="1" s="1"/>
  <c r="S96" i="1"/>
  <c r="T96" i="1" s="1"/>
  <c r="V96" i="1" l="1"/>
  <c r="AD96" i="1"/>
  <c r="O97" i="1" s="1"/>
  <c r="AE96" i="1"/>
  <c r="P97" i="1" s="1"/>
  <c r="U96" i="1"/>
  <c r="W96" i="1" s="1"/>
  <c r="X96" i="1"/>
  <c r="E97" i="1" s="1"/>
  <c r="AC96" i="1"/>
  <c r="N97" i="1" s="1"/>
  <c r="Y96" i="1"/>
  <c r="F97" i="1" s="1"/>
  <c r="Z96" i="1"/>
  <c r="G97" i="1" s="1"/>
  <c r="AA96" i="1"/>
  <c r="H97" i="1" s="1"/>
  <c r="AB96" i="1"/>
  <c r="M97" i="1" s="1"/>
  <c r="K97" i="1" l="1"/>
  <c r="L97" i="1" s="1"/>
  <c r="I97" i="1"/>
  <c r="J97" i="1" s="1"/>
  <c r="Q97" i="1" s="1"/>
  <c r="R97" i="1" s="1"/>
  <c r="S97" i="1" l="1"/>
  <c r="T97" i="1" s="1"/>
  <c r="AC97" i="1"/>
  <c r="N98" i="1" s="1"/>
  <c r="U97" i="1"/>
  <c r="AB97" i="1"/>
  <c r="M98" i="1" s="1"/>
  <c r="Z97" i="1"/>
  <c r="G98" i="1" s="1"/>
  <c r="X97" i="1"/>
  <c r="E98" i="1" s="1"/>
  <c r="Y97" i="1"/>
  <c r="F98" i="1" s="1"/>
  <c r="AA97" i="1"/>
  <c r="H98" i="1" s="1"/>
  <c r="AD97" i="1"/>
  <c r="O98" i="1" s="1"/>
  <c r="AE97" i="1"/>
  <c r="P98" i="1" s="1"/>
  <c r="V97" i="1"/>
  <c r="I98" i="1" l="1"/>
  <c r="J98" i="1" s="1"/>
  <c r="W97" i="1"/>
  <c r="K98" i="1"/>
  <c r="L98" i="1" s="1"/>
  <c r="S98" i="1" s="1"/>
  <c r="T98" i="1" s="1"/>
  <c r="Q98" i="1"/>
  <c r="R98" i="1" s="1"/>
  <c r="AD98" i="1" l="1"/>
  <c r="O99" i="1" s="1"/>
  <c r="V98" i="1"/>
  <c r="AE98" i="1"/>
  <c r="P99" i="1" s="1"/>
  <c r="Z98" i="1"/>
  <c r="G99" i="1" s="1"/>
  <c r="AB98" i="1"/>
  <c r="M99" i="1" s="1"/>
  <c r="AC98" i="1"/>
  <c r="N99" i="1" s="1"/>
  <c r="X98" i="1"/>
  <c r="E99" i="1" s="1"/>
  <c r="AA98" i="1"/>
  <c r="H99" i="1" s="1"/>
  <c r="U98" i="1"/>
  <c r="W98" i="1" s="1"/>
  <c r="Y98" i="1"/>
  <c r="F99" i="1" s="1"/>
  <c r="I99" i="1" l="1"/>
  <c r="J99" i="1" s="1"/>
  <c r="K99" i="1"/>
  <c r="L99" i="1" s="1"/>
  <c r="Q99" i="1" s="1"/>
  <c r="R99" i="1" s="1"/>
  <c r="AB99" i="1" l="1"/>
  <c r="M100" i="1" s="1"/>
  <c r="AC99" i="1"/>
  <c r="N100" i="1" s="1"/>
  <c r="U99" i="1"/>
  <c r="S99" i="1"/>
  <c r="T99" i="1" s="1"/>
  <c r="AD99" i="1" l="1"/>
  <c r="O100" i="1" s="1"/>
  <c r="AE99" i="1"/>
  <c r="P100" i="1" s="1"/>
  <c r="V99" i="1"/>
  <c r="Z99" i="1"/>
  <c r="G100" i="1" s="1"/>
  <c r="W99" i="1"/>
  <c r="AA99" i="1"/>
  <c r="H100" i="1" s="1"/>
  <c r="Y99" i="1"/>
  <c r="F100" i="1" s="1"/>
  <c r="X99" i="1"/>
  <c r="E100" i="1" s="1"/>
  <c r="I100" i="1" l="1"/>
  <c r="J100" i="1" s="1"/>
  <c r="K100" i="1"/>
  <c r="L100" i="1" s="1"/>
  <c r="S100" i="1" s="1"/>
  <c r="T100" i="1" s="1"/>
  <c r="V100" i="1" l="1"/>
  <c r="AE100" i="1"/>
  <c r="P101" i="1" s="1"/>
  <c r="AD100" i="1"/>
  <c r="O101" i="1" s="1"/>
  <c r="Q100" i="1"/>
  <c r="R100" i="1" s="1"/>
  <c r="X100" i="1" l="1"/>
  <c r="E101" i="1" s="1"/>
  <c r="Y100" i="1"/>
  <c r="F101" i="1" s="1"/>
  <c r="Z100" i="1"/>
  <c r="G101" i="1" s="1"/>
  <c r="AB100" i="1"/>
  <c r="M101" i="1" s="1"/>
  <c r="AC100" i="1"/>
  <c r="N101" i="1" s="1"/>
  <c r="U100" i="1"/>
  <c r="W100" i="1" s="1"/>
  <c r="AA100" i="1"/>
  <c r="H101" i="1" s="1"/>
  <c r="K101" i="1" l="1"/>
  <c r="L101" i="1" s="1"/>
  <c r="I101" i="1"/>
  <c r="J101" i="1" s="1"/>
  <c r="S101" i="1" s="1"/>
  <c r="T101" i="1" s="1"/>
  <c r="AD101" i="1" l="1"/>
  <c r="O102" i="1" s="1"/>
  <c r="AE101" i="1"/>
  <c r="P102" i="1" s="1"/>
  <c r="V101" i="1"/>
  <c r="Q101" i="1"/>
  <c r="R101" i="1" s="1"/>
  <c r="AC101" i="1" l="1"/>
  <c r="N102" i="1" s="1"/>
  <c r="U101" i="1"/>
  <c r="W101" i="1" s="1"/>
  <c r="X101" i="1"/>
  <c r="E102" i="1" s="1"/>
  <c r="Y101" i="1"/>
  <c r="F102" i="1" s="1"/>
  <c r="AA101" i="1"/>
  <c r="H102" i="1" s="1"/>
  <c r="AB101" i="1"/>
  <c r="M102" i="1" s="1"/>
  <c r="Z101" i="1"/>
  <c r="G102" i="1" s="1"/>
  <c r="K102" i="1" l="1"/>
  <c r="L102" i="1" s="1"/>
  <c r="I102" i="1"/>
  <c r="J102" i="1" s="1"/>
  <c r="S102" i="1" s="1"/>
  <c r="T102" i="1" s="1"/>
  <c r="AE102" i="1" l="1"/>
  <c r="P103" i="1" s="1"/>
  <c r="V102" i="1"/>
  <c r="AD102" i="1"/>
  <c r="O103" i="1" s="1"/>
  <c r="Q102" i="1"/>
  <c r="R102" i="1" s="1"/>
  <c r="Z102" i="1" l="1"/>
  <c r="G103" i="1" s="1"/>
  <c r="AA102" i="1"/>
  <c r="H103" i="1" s="1"/>
  <c r="AB102" i="1"/>
  <c r="M103" i="1" s="1"/>
  <c r="AC102" i="1"/>
  <c r="N103" i="1" s="1"/>
  <c r="X102" i="1"/>
  <c r="E103" i="1" s="1"/>
  <c r="Y102" i="1"/>
  <c r="F103" i="1" s="1"/>
  <c r="U102" i="1"/>
  <c r="W102" i="1" s="1"/>
  <c r="I103" i="1" l="1"/>
  <c r="J103" i="1" s="1"/>
  <c r="K103" i="1"/>
  <c r="L103" i="1" s="1"/>
  <c r="Q103" i="1" s="1"/>
  <c r="R103" i="1" s="1"/>
  <c r="AB103" i="1" l="1"/>
  <c r="M104" i="1" s="1"/>
  <c r="AC103" i="1"/>
  <c r="N104" i="1" s="1"/>
  <c r="U103" i="1"/>
  <c r="S103" i="1"/>
  <c r="T103" i="1" s="1"/>
  <c r="AA103" i="1" s="1"/>
  <c r="H104" i="1" s="1"/>
  <c r="V103" i="1" l="1"/>
  <c r="AE103" i="1"/>
  <c r="P104" i="1" s="1"/>
  <c r="AD103" i="1"/>
  <c r="O104" i="1" s="1"/>
  <c r="Z103" i="1"/>
  <c r="G104" i="1" s="1"/>
  <c r="K104" i="1" s="1"/>
  <c r="L104" i="1" s="1"/>
  <c r="Y103" i="1"/>
  <c r="F104" i="1" s="1"/>
  <c r="X103" i="1"/>
  <c r="E104" i="1" s="1"/>
  <c r="W103" i="1"/>
  <c r="I104" i="1" l="1"/>
  <c r="J104" i="1" s="1"/>
  <c r="Q104" i="1" s="1"/>
  <c r="R104" i="1" s="1"/>
  <c r="U104" i="1"/>
  <c r="AB104" i="1"/>
  <c r="M105" i="1" s="1"/>
  <c r="AC104" i="1"/>
  <c r="N105" i="1" s="1"/>
  <c r="S104" i="1"/>
  <c r="T104" i="1" s="1"/>
  <c r="AD104" i="1" l="1"/>
  <c r="O105" i="1" s="1"/>
  <c r="AE104" i="1"/>
  <c r="P105" i="1" s="1"/>
  <c r="V104" i="1"/>
  <c r="W104" i="1" s="1"/>
  <c r="AA104" i="1"/>
  <c r="H105" i="1" s="1"/>
  <c r="Z104" i="1"/>
  <c r="G105" i="1" s="1"/>
  <c r="K105" i="1" s="1"/>
  <c r="L105" i="1" s="1"/>
  <c r="Y104" i="1"/>
  <c r="F105" i="1" s="1"/>
  <c r="X104" i="1"/>
  <c r="E105" i="1" s="1"/>
  <c r="I105" i="1" l="1"/>
  <c r="J105" i="1" s="1"/>
  <c r="Q105" i="1" s="1"/>
  <c r="R105" i="1" s="1"/>
  <c r="S105" i="1"/>
  <c r="T105" i="1" s="1"/>
  <c r="AD105" i="1" l="1"/>
  <c r="AE105" i="1"/>
  <c r="V105" i="1"/>
  <c r="AC105" i="1"/>
  <c r="U105" i="1"/>
  <c r="AB105" i="1"/>
  <c r="AA105" i="1"/>
  <c r="Y105" i="1"/>
  <c r="Z105" i="1"/>
  <c r="X105" i="1"/>
  <c r="W105" i="1" l="1"/>
</calcChain>
</file>

<file path=xl/sharedStrings.xml><?xml version="1.0" encoding="utf-8"?>
<sst xmlns="http://schemas.openxmlformats.org/spreadsheetml/2006/main" count="96" uniqueCount="72">
  <si>
    <t>h1 = w1*i1 + w2*i2</t>
  </si>
  <si>
    <t>h2 = w3*i1 + w4*i2</t>
  </si>
  <si>
    <t>a_h1 = sigmoid(h1) = 1/(1+ exp(-h1))</t>
  </si>
  <si>
    <t>a_h2 = sigmoid(h2) = 1/(1+ exp(-h2))</t>
  </si>
  <si>
    <t>o1 = w5*a_h1 + w6*a_h2</t>
  </si>
  <si>
    <t>o2 = w7*a_h1 + w8*a_h2</t>
  </si>
  <si>
    <t>a_o1 = sigmoid(o1) = 1/(1+ exp(-o1))</t>
  </si>
  <si>
    <t>a_o2 = sigmoid(o2) = 1/(1+ exp(-o2))</t>
  </si>
  <si>
    <t>E_total = E1+ E2</t>
  </si>
  <si>
    <t>E1 = 1/2*(t1-a_o1)^2</t>
  </si>
  <si>
    <t>E1 = 1/2*(t2-a_o2)^2</t>
  </si>
  <si>
    <t>t1</t>
  </si>
  <si>
    <t>t2</t>
  </si>
  <si>
    <t>i1</t>
  </si>
  <si>
    <t>i2</t>
  </si>
  <si>
    <t>w1</t>
  </si>
  <si>
    <t>w2</t>
  </si>
  <si>
    <t>w3</t>
  </si>
  <si>
    <t>w4</t>
  </si>
  <si>
    <t>h1</t>
  </si>
  <si>
    <t>a_h1</t>
  </si>
  <si>
    <t>h2</t>
  </si>
  <si>
    <t>a_h2</t>
  </si>
  <si>
    <t>w5</t>
  </si>
  <si>
    <t>w6</t>
  </si>
  <si>
    <t>w7</t>
  </si>
  <si>
    <t>w8</t>
  </si>
  <si>
    <t>o1</t>
  </si>
  <si>
    <t>o2</t>
  </si>
  <si>
    <t>a_o1</t>
  </si>
  <si>
    <t>a_o2</t>
  </si>
  <si>
    <t>E1</t>
  </si>
  <si>
    <t>E2</t>
  </si>
  <si>
    <t>E_total</t>
  </si>
  <si>
    <t>ðE_total/ðw5 = ð(E1+E2)/ðw5</t>
  </si>
  <si>
    <t>ðE_total/ðw5 = ð(E1)/ðw5</t>
  </si>
  <si>
    <t>ðE_total/ðw5 = ð(E1)/ðw5= ðE1/ða_o1*ða_o1/ðo1*ðo1/ðw5</t>
  </si>
  <si>
    <t>ðE1/ða_o1 = ð(1/2*(t1-a_o1)^2)/ða_o1 = -1(t1-a_o1) = a_01-t1</t>
  </si>
  <si>
    <t>ða_o1/ðo1 = ð(1/(1+ exp(-o1)))/ðo1 = a_o1*(1-ao1)</t>
  </si>
  <si>
    <t>ðo1/ðw5 = a_h1</t>
  </si>
  <si>
    <t>ðE_total/ðw4 =a_02-t2*a_o2*(1-ao2)* a_h2*(1-ah2)*i2</t>
  </si>
  <si>
    <t>ðE_total/ðw2 =a_01-t1*a_o1*(1-ao1)* a_h1*(1-ah1)*i2</t>
  </si>
  <si>
    <t>ðE_total/ðw1 =a_01-t1*a_o1*(1-ao1)* a_h1*(1-ah1)*i1</t>
  </si>
  <si>
    <t>ðE_total/ðw3 =a_02-t2*a_o2*(1-ao2)* a_h2*(1-ah2)*i1</t>
  </si>
  <si>
    <t>ðE1/ða_h1 = a_01-t1*a_o1*(1-ao1)* a_h1*w5</t>
  </si>
  <si>
    <t>ðE2/ða_h1 = a_02-t2*a_o2*(1-ao2)* a_h1*w7</t>
  </si>
  <si>
    <t>ðE_total/ða_h1 = (a_01-t1)*a_o1*(1-ao1)**w5+ (a_02-t2)*a_o2*(1-ao2)* w7</t>
  </si>
  <si>
    <t>ðE_total/ða_h2 = (a_01-t1)*a_o1*(1-ao1)* w6 + (a_02-t2)*a_o2*(1-ao2)* w8</t>
  </si>
  <si>
    <t>ðE_total/ðw1 =ðE_total/ða_h1*ða_h1/ðh1*ðh1/w1 =  ((a_01-t1)*a_o1*(1-ao1)*w5+ (a_02-t2)*a_o2*(1-ao2)* w7)*a_h1*(1-a_h1)*i1</t>
  </si>
  <si>
    <t>ðE_total/ðw2 =ðE_total/ða_h1*ða_h1/ðh1*ðh1/w2 =  ((a_01-t1)*a_o1*(1-ao1)*w5+ (a_02-t2)*a_o2*(1-ao2)* w7)*a_h1*(1-a_h1)*i2</t>
  </si>
  <si>
    <t>ðE_total/ðw4=ðE_total/ða_h2*ða_h2/ðh2*ðh2/w4 =  ((a_01-t1)*a_o1*(1-ao1)*w6 + (a_02-t2)*a_o2*(1-ao2)* w8)*a_h2*(1-ah2)*i2</t>
  </si>
  <si>
    <t>ðE_total/ðw3=ðE_total/ða_h2*ða_h2/ðh2*ðh2/w3 =  ((a_01-t1)*a_o1*(1-ao1)*w6 + (a_02-t2)*a_o2*(1-ao2)* w8)*a_h2*(1-ah2)*i1</t>
  </si>
  <si>
    <t>ðE_total/ðw5 = (a_01-t1)*a_o1*(1-ao1)* a_h1</t>
  </si>
  <si>
    <t>ðE_total/ðw6 = (a_01-t1)*a_o1*(1-ao1)* a_h2</t>
  </si>
  <si>
    <t>ðE_total/ðw8 = (a_02-t2)*a_o2*(1-ao2)* a_h2</t>
  </si>
  <si>
    <t>ðE_total/ðw7 = (a_02-t2)*a_o2*(1-ao2)*a_h1</t>
  </si>
  <si>
    <t>ðE/ðw2</t>
  </si>
  <si>
    <t>ðE/ðw1</t>
  </si>
  <si>
    <t>ðE/ðw3</t>
  </si>
  <si>
    <t>ðE/ðw4</t>
  </si>
  <si>
    <t>ðE/ðw5</t>
  </si>
  <si>
    <t>ðE/ðw6</t>
  </si>
  <si>
    <t>ðE/ðw7</t>
  </si>
  <si>
    <t>ðE/ðw8</t>
  </si>
  <si>
    <t xml:space="preserve">LR </t>
  </si>
  <si>
    <t>LR</t>
  </si>
  <si>
    <t>LR = 0.1</t>
  </si>
  <si>
    <t>LR =0.2</t>
  </si>
  <si>
    <t>LR = 0.5</t>
  </si>
  <si>
    <t>LR = 0.8</t>
  </si>
  <si>
    <t>LR = 1</t>
  </si>
  <si>
    <t>LR =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</si>
</sst>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1" formatCode="0.000E+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71" fontId="0" fillId="0" borderId="0" xfId="0" applyNumberFormat="1"/>
    <xf numFmtId="0" fontId="0" fillId="2" borderId="0" xfId="0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LR versus Total Error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Sheet1!$B$109</c:f>
              <c:strCache>
                <c:ptCount val="1"/>
                <c:pt idx="0">
                  <c:v>LR = 0.1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Sheet1!$B$110:$B$180</c:f>
              <c:numCache>
                <c:formatCode>General</c:formatCode>
                <c:ptCount val="71"/>
                <c:pt idx="0">
                  <c:v>0.25123100378328034</c:v>
                </c:pt>
                <c:pt idx="1">
                  <c:v>0.24963200963688148</c:v>
                </c:pt>
                <c:pt idx="2">
                  <c:v>0.24804180648990798</c:v>
                </c:pt>
                <c:pt idx="3">
                  <c:v>0.24646042008544122</c:v>
                </c:pt>
                <c:pt idx="4">
                  <c:v>0.24488787461065192</c:v>
                </c:pt>
                <c:pt idx="5">
                  <c:v>0.24332419270179823</c:v>
                </c:pt>
                <c:pt idx="6">
                  <c:v>0.24176939544996245</c:v>
                </c:pt>
                <c:pt idx="7">
                  <c:v>0.24022350240752005</c:v>
                </c:pt>
                <c:pt idx="8">
                  <c:v>0.23868653159533054</c:v>
                </c:pt>
                <c:pt idx="9">
                  <c:v>0.23715849951064344</c:v>
                </c:pt>
                <c:pt idx="10">
                  <c:v>0.23563942113570746</c:v>
                </c:pt>
                <c:pt idx="11">
                  <c:v>0.23412930994707065</c:v>
                </c:pt>
                <c:pt idx="12">
                  <c:v>0.23262817792556245</c:v>
                </c:pt>
                <c:pt idx="13">
                  <c:v>0.23113603556694121</c:v>
                </c:pt>
                <c:pt idx="14">
                  <c:v>0.22965289189319624</c:v>
                </c:pt>
                <c:pt idx="15">
                  <c:v>0.22817875446448765</c:v>
                </c:pt>
                <c:pt idx="16">
                  <c:v>0.2267136293917105</c:v>
                </c:pt>
                <c:pt idx="17">
                  <c:v>0.22525752134966653</c:v>
                </c:pt>
                <c:pt idx="18">
                  <c:v>0.22381043359082628</c:v>
                </c:pt>
                <c:pt idx="19">
                  <c:v>0.22237236795966631</c:v>
                </c:pt>
                <c:pt idx="20">
                  <c:v>0.22094332490756149</c:v>
                </c:pt>
                <c:pt idx="21">
                  <c:v>0.21952330350821628</c:v>
                </c:pt>
                <c:pt idx="22">
                  <c:v>0.21811230147361468</c:v>
                </c:pt>
                <c:pt idx="23">
                  <c:v>0.21671031517047096</c:v>
                </c:pt>
                <c:pt idx="24">
                  <c:v>0.21531733963716077</c:v>
                </c:pt>
                <c:pt idx="25">
                  <c:v>0.21393336860111356</c:v>
                </c:pt>
                <c:pt idx="26">
                  <c:v>0.21255839449664604</c:v>
                </c:pt>
                <c:pt idx="27">
                  <c:v>0.21119240848321552</c:v>
                </c:pt>
                <c:pt idx="28">
                  <c:v>0.20983540046407384</c:v>
                </c:pt>
                <c:pt idx="29">
                  <c:v>0.20848735910530081</c:v>
                </c:pt>
                <c:pt idx="30">
                  <c:v>0.20714827185519519</c:v>
                </c:pt>
                <c:pt idx="31">
                  <c:v>0.20581812496400415</c:v>
                </c:pt>
                <c:pt idx="32">
                  <c:v>0.20449690350396882</c:v>
                </c:pt>
                <c:pt idx="33">
                  <c:v>0.20318459138966571</c:v>
                </c:pt>
                <c:pt idx="34">
                  <c:v>0.20188117139862219</c:v>
                </c:pt>
                <c:pt idx="35">
                  <c:v>0.20058662519218662</c:v>
                </c:pt>
                <c:pt idx="36">
                  <c:v>0.19930093333663068</c:v>
                </c:pt>
                <c:pt idx="37">
                  <c:v>0.19802407532446484</c:v>
                </c:pt>
                <c:pt idx="38">
                  <c:v>0.19675602959594463</c:v>
                </c:pt>
                <c:pt idx="39">
                  <c:v>0.19549677356074949</c:v>
                </c:pt>
                <c:pt idx="40">
                  <c:v>0.19424628361981292</c:v>
                </c:pt>
                <c:pt idx="41">
                  <c:v>0.19300453518728355</c:v>
                </c:pt>
                <c:pt idx="42">
                  <c:v>0.19177150271259991</c:v>
                </c:pt>
                <c:pt idx="43">
                  <c:v>0.19054715970265623</c:v>
                </c:pt>
                <c:pt idx="44">
                  <c:v>0.1893314787440441</c:v>
                </c:pt>
                <c:pt idx="45">
                  <c:v>0.18812443152534836</c:v>
                </c:pt>
                <c:pt idx="46">
                  <c:v>0.18692598885948108</c:v>
                </c:pt>
                <c:pt idx="47">
                  <c:v>0.18573612070603451</c:v>
                </c:pt>
                <c:pt idx="48">
                  <c:v>0.18455479619363641</c:v>
                </c:pt>
                <c:pt idx="49">
                  <c:v>0.1833819836422903</c:v>
                </c:pt>
                <c:pt idx="50">
                  <c:v>0.18221765058568506</c:v>
                </c:pt>
                <c:pt idx="51">
                  <c:v>0.18106176379345573</c:v>
                </c:pt>
                <c:pt idx="52">
                  <c:v>0.17991428929338255</c:v>
                </c:pt>
                <c:pt idx="53">
                  <c:v>0.17877519239351064</c:v>
                </c:pt>
                <c:pt idx="54">
                  <c:v>0.17764443770417779</c:v>
                </c:pt>
                <c:pt idx="55">
                  <c:v>0.17652198915993397</c:v>
                </c:pt>
                <c:pt idx="56">
                  <c:v>0.17540781004134093</c:v>
                </c:pt>
                <c:pt idx="57">
                  <c:v>0.17430186299663736</c:v>
                </c:pt>
                <c:pt idx="58">
                  <c:v>0.17320411006325742</c:v>
                </c:pt>
                <c:pt idx="59">
                  <c:v>0.17211451268919004</c:v>
                </c:pt>
                <c:pt idx="60">
                  <c:v>0.1710330317541682</c:v>
                </c:pt>
                <c:pt idx="61">
                  <c:v>0.16995962759067601</c:v>
                </c:pt>
                <c:pt idx="62">
                  <c:v>0.16889426000476365</c:v>
                </c:pt>
                <c:pt idx="63">
                  <c:v>0.16783688829665894</c:v>
                </c:pt>
                <c:pt idx="64">
                  <c:v>0.16678747128116778</c:v>
                </c:pt>
                <c:pt idx="65">
                  <c:v>0.16574596730785249</c:v>
                </c:pt>
                <c:pt idx="66">
                  <c:v>0.16471233428098017</c:v>
                </c:pt>
                <c:pt idx="67">
                  <c:v>0.16368652967923272</c:v>
                </c:pt>
                <c:pt idx="68">
                  <c:v>0.16266851057517134</c:v>
                </c:pt>
                <c:pt idx="69">
                  <c:v>0.16165823365444734</c:v>
                </c:pt>
                <c:pt idx="70">
                  <c:v>0.16065565523475378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0E-4548-97B5-27C3F933ED23}"/>
            </c:ext>
          </c:extLst>
        </c:ser>
        <c:ser>
          <c:idx val="1"/>
          <c:order val="1"/>
          <c:tx>
            <c:strRef>
              <c:f>Sheet1!$C$109</c:f>
              <c:strCache>
                <c:ptCount val="1"/>
                <c:pt idx="0">
                  <c:v>LR =0.2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Sheet1!$C$110:$C$180</c:f>
              <c:numCache>
                <c:formatCode>General</c:formatCode>
                <c:ptCount val="71"/>
                <c:pt idx="0">
                  <c:v>0.25123100378328034</c:v>
                </c:pt>
                <c:pt idx="1">
                  <c:v>0.24803743494936087</c:v>
                </c:pt>
                <c:pt idx="2">
                  <c:v>0.24487916150135888</c:v>
                </c:pt>
                <c:pt idx="3">
                  <c:v>0.24175637447747683</c:v>
                </c:pt>
                <c:pt idx="4">
                  <c:v>0.23866924010738469</c:v>
                </c:pt>
                <c:pt idx="5">
                  <c:v>0.23561790002216021</c:v>
                </c:pt>
                <c:pt idx="6">
                  <c:v>0.23260247151027225</c:v>
                </c:pt>
                <c:pt idx="7">
                  <c:v>0.22962304781828519</c:v>
                </c:pt>
                <c:pt idx="8">
                  <c:v>0.22667969849473107</c:v>
                </c:pt>
                <c:pt idx="9">
                  <c:v>0.22377246977538767</c:v>
                </c:pt>
                <c:pt idx="10">
                  <c:v>0.22090138500800988</c:v>
                </c:pt>
                <c:pt idx="11">
                  <c:v>0.21806644511438916</c:v>
                </c:pt>
                <c:pt idx="12">
                  <c:v>0.21526762908747304</c:v>
                </c:pt>
                <c:pt idx="13">
                  <c:v>0.21250489452114663</c:v>
                </c:pt>
                <c:pt idx="14">
                  <c:v>0.2097781781701768</c:v>
                </c:pt>
                <c:pt idx="15">
                  <c:v>0.20708739653773964</c:v>
                </c:pt>
                <c:pt idx="16">
                  <c:v>0.20443244648789</c:v>
                </c:pt>
                <c:pt idx="17">
                  <c:v>0.20181320588029852</c:v>
                </c:pt>
                <c:pt idx="18">
                  <c:v>0.19922953422455958</c:v>
                </c:pt>
                <c:pt idx="19">
                  <c:v>0.19668127335138119</c:v>
                </c:pt>
                <c:pt idx="20">
                  <c:v>0.19416824809798447</c:v>
                </c:pt>
                <c:pt idx="21">
                  <c:v>0.19169026700508029</c:v>
                </c:pt>
                <c:pt idx="22">
                  <c:v>0.18924712302284574</c:v>
                </c:pt>
                <c:pt idx="23">
                  <c:v>0.18683859422338808</c:v>
                </c:pt>
                <c:pt idx="24">
                  <c:v>0.18446444451726682</c:v>
                </c:pt>
                <c:pt idx="25">
                  <c:v>0.18212442437173676</c:v>
                </c:pt>
                <c:pt idx="26">
                  <c:v>0.17981827152847574</c:v>
                </c:pt>
                <c:pt idx="27">
                  <c:v>0.17754571171867262</c:v>
                </c:pt>
                <c:pt idx="28">
                  <c:v>0.17530645937346501</c:v>
                </c:pt>
                <c:pt idx="29">
                  <c:v>0.1731002183278435</c:v>
                </c:pt>
                <c:pt idx="30">
                  <c:v>0.17092668251625981</c:v>
                </c:pt>
                <c:pt idx="31">
                  <c:v>0.16878553665831053</c:v>
                </c:pt>
                <c:pt idx="32">
                  <c:v>0.16667645693299482</c:v>
                </c:pt>
                <c:pt idx="33">
                  <c:v>0.16459911164017749</c:v>
                </c:pt>
                <c:pt idx="34">
                  <c:v>0.16255316184801849</c:v>
                </c:pt>
                <c:pt idx="35">
                  <c:v>0.16053826202525892</c:v>
                </c:pt>
                <c:pt idx="36">
                  <c:v>0.15855406065737909</c:v>
                </c:pt>
                <c:pt idx="37">
                  <c:v>0.15660020084576767</c:v>
                </c:pt>
                <c:pt idx="38">
                  <c:v>0.15467632088916181</c:v>
                </c:pt>
                <c:pt idx="39">
                  <c:v>0.15278205484672977</c:v>
                </c:pt>
                <c:pt idx="40">
                  <c:v>0.15091703308228066</c:v>
                </c:pt>
                <c:pt idx="41">
                  <c:v>0.14908088278919013</c:v>
                </c:pt>
                <c:pt idx="42">
                  <c:v>0.14727322849572894</c:v>
                </c:pt>
                <c:pt idx="43">
                  <c:v>0.14549369255057673</c:v>
                </c:pt>
                <c:pt idx="44">
                  <c:v>0.14374189558839096</c:v>
                </c:pt>
                <c:pt idx="45">
                  <c:v>0.14201745697538126</c:v>
                </c:pt>
                <c:pt idx="46">
                  <c:v>0.14031999523491862</c:v>
                </c:pt>
                <c:pt idx="47">
                  <c:v>0.13864912845327471</c:v>
                </c:pt>
                <c:pt idx="48">
                  <c:v>0.13700447466565535</c:v>
                </c:pt>
                <c:pt idx="49">
                  <c:v>0.13538565222274648</c:v>
                </c:pt>
                <c:pt idx="50">
                  <c:v>0.13379228013804617</c:v>
                </c:pt>
                <c:pt idx="51">
                  <c:v>0.1322239784163029</c:v>
                </c:pt>
                <c:pt idx="52">
                  <c:v>0.13068036836342289</c:v>
                </c:pt>
                <c:pt idx="53">
                  <c:v>0.12916107287824405</c:v>
                </c:pt>
                <c:pt idx="54">
                  <c:v>0.12766571672661003</c:v>
                </c:pt>
                <c:pt idx="55">
                  <c:v>0.12619392679820318</c:v>
                </c:pt>
                <c:pt idx="56">
                  <c:v>0.12474533234661765</c:v>
                </c:pt>
                <c:pt idx="57">
                  <c:v>0.12331956521317716</c:v>
                </c:pt>
                <c:pt idx="58">
                  <c:v>0.12191626003501277</c:v>
                </c:pt>
                <c:pt idx="59">
                  <c:v>0.12053505443793179</c:v>
                </c:pt>
                <c:pt idx="60">
                  <c:v>0.11917558921461632</c:v>
                </c:pt>
                <c:pt idx="61">
                  <c:v>0.11783750848869529</c:v>
                </c:pt>
                <c:pt idx="62">
                  <c:v>0.1165204598652384</c:v>
                </c:pt>
                <c:pt idx="63">
                  <c:v>0.11522409456821983</c:v>
                </c:pt>
                <c:pt idx="64">
                  <c:v>0.11394806756549798</c:v>
                </c:pt>
                <c:pt idx="65">
                  <c:v>0.11269203768185487</c:v>
                </c:pt>
                <c:pt idx="66">
                  <c:v>0.11145566770063241</c:v>
                </c:pt>
                <c:pt idx="67">
                  <c:v>0.11023862445449471</c:v>
                </c:pt>
                <c:pt idx="68">
                  <c:v>0.10904057890584017</c:v>
                </c:pt>
                <c:pt idx="69">
                  <c:v>0.10786120621737287</c:v>
                </c:pt>
                <c:pt idx="70">
                  <c:v>0.10670018581333529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0E-4548-97B5-27C3F933ED23}"/>
            </c:ext>
          </c:extLst>
        </c:ser>
        <c:ser>
          <c:idx val="2"/>
          <c:order val="2"/>
          <c:tx>
            <c:strRef>
              <c:f>Sheet1!$D$109</c:f>
              <c:strCache>
                <c:ptCount val="1"/>
                <c:pt idx="0">
                  <c:v>LR = 0.5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Sheet1!$D$110:$D$180</c:f>
              <c:numCache>
                <c:formatCode>General</c:formatCode>
                <c:ptCount val="71"/>
                <c:pt idx="0">
                  <c:v>0.25123100378328034</c:v>
                </c:pt>
                <c:pt idx="1">
                  <c:v>0.24328063170651582</c:v>
                </c:pt>
                <c:pt idx="2">
                  <c:v>0.23555316880705232</c:v>
                </c:pt>
                <c:pt idx="3">
                  <c:v>0.22805090207285567</c:v>
                </c:pt>
                <c:pt idx="4">
                  <c:v>0.22077516763258231</c:v>
                </c:pt>
                <c:pt idx="5">
                  <c:v>0.21372638515183423</c:v>
                </c:pt>
                <c:pt idx="6">
                  <c:v>0.20690410198632597</c:v>
                </c:pt>
                <c:pt idx="7">
                  <c:v>0.20030704575339395</c:v>
                </c:pt>
                <c:pt idx="8">
                  <c:v>0.19393318379526331</c:v>
                </c:pt>
                <c:pt idx="9">
                  <c:v>0.18777978790450517</c:v>
                </c:pt>
                <c:pt idx="10">
                  <c:v>0.18184350265969862</c:v>
                </c:pt>
                <c:pt idx="11">
                  <c:v>0.17612041576809145</c:v>
                </c:pt>
                <c:pt idx="12">
                  <c:v>0.17060612891947252</c:v>
                </c:pt>
                <c:pt idx="13">
                  <c:v>0.16529582780725255</c:v>
                </c:pt>
                <c:pt idx="14">
                  <c:v>0.16018435015440746</c:v>
                </c:pt>
                <c:pt idx="15">
                  <c:v>0.15526625077980338</c:v>
                </c:pt>
                <c:pt idx="16">
                  <c:v>0.15053586294251164</c:v>
                </c:pt>
                <c:pt idx="17">
                  <c:v>0.14598735539814911</c:v>
                </c:pt>
                <c:pt idx="18">
                  <c:v>0.14161478478451589</c:v>
                </c:pt>
                <c:pt idx="19">
                  <c:v>0.13741214311856687</c:v>
                </c:pt>
                <c:pt idx="20">
                  <c:v>0.13337340032987763</c:v>
                </c:pt>
                <c:pt idx="21">
                  <c:v>0.12949254187584547</c:v>
                </c:pt>
                <c:pt idx="22">
                  <c:v>0.12576360158094119</c:v>
                </c:pt>
                <c:pt idx="23">
                  <c:v>0.12218068991750651</c:v>
                </c:pt>
                <c:pt idx="24">
                  <c:v>0.11873801800073716</c:v>
                </c:pt>
                <c:pt idx="25">
                  <c:v>0.11542991760790633</c:v>
                </c:pt>
                <c:pt idx="26">
                  <c:v>0.11225085755410051</c:v>
                </c:pt>
                <c:pt idx="27">
                  <c:v>0.1091954567663169</c:v>
                </c:pt>
                <c:pt idx="28">
                  <c:v>0.10625849439715297</c:v>
                </c:pt>
                <c:pt idx="29">
                  <c:v>0.10343491731077802</c:v>
                </c:pt>
                <c:pt idx="30">
                  <c:v>0.10071984525940436</c:v>
                </c:pt>
                <c:pt idx="31">
                  <c:v>9.8108574049826883E-2</c:v>
                </c:pt>
                <c:pt idx="32">
                  <c:v>9.5596576978216274E-2</c:v>
                </c:pt>
                <c:pt idx="33">
                  <c:v>9.3179504788443501E-2</c:v>
                </c:pt>
                <c:pt idx="34">
                  <c:v>9.0853184385718669E-2</c:v>
                </c:pt>
                <c:pt idx="35">
                  <c:v>8.8613616513994214E-2</c:v>
                </c:pt>
                <c:pt idx="36">
                  <c:v>8.645697258294964E-2</c:v>
                </c:pt>
                <c:pt idx="37">
                  <c:v>8.4379590808841998E-2</c:v>
                </c:pt>
                <c:pt idx="38">
                  <c:v>8.2377971813331369E-2</c:v>
                </c:pt>
                <c:pt idx="39">
                  <c:v>8.044877380573387E-2</c:v>
                </c:pt>
                <c:pt idx="40">
                  <c:v>7.8588807457093041E-2</c:v>
                </c:pt>
                <c:pt idx="41">
                  <c:v>7.6795030559009436E-2</c:v>
                </c:pt>
                <c:pt idx="42">
                  <c:v>7.5064542546290927E-2</c:v>
                </c:pt>
                <c:pt idx="43">
                  <c:v>7.3394578950128603E-2</c:v>
                </c:pt>
                <c:pt idx="44">
                  <c:v>7.1782505837561947E-2</c:v>
                </c:pt>
                <c:pt idx="45">
                  <c:v>7.0225814283390031E-2</c:v>
                </c:pt>
                <c:pt idx="46">
                  <c:v>6.8722114912286705E-2</c:v>
                </c:pt>
                <c:pt idx="47">
                  <c:v>6.7269132541590393E-2</c:v>
                </c:pt>
                <c:pt idx="48">
                  <c:v>6.5864700948947363E-2</c:v>
                </c:pt>
                <c:pt idx="49">
                  <c:v>6.4506757783585972E-2</c:v>
                </c:pt>
                <c:pt idx="50">
                  <c:v>6.319333963539342E-2</c:v>
                </c:pt>
                <c:pt idx="51">
                  <c:v>6.1922577272057994E-2</c:v>
                </c:pt>
                <c:pt idx="52">
                  <c:v>6.0692691051248575E-2</c:v>
                </c:pt>
                <c:pt idx="53">
                  <c:v>5.9501986512046891E-2</c:v>
                </c:pt>
                <c:pt idx="54">
                  <c:v>5.8348850147561082E-2</c:v>
                </c:pt>
                <c:pt idx="55">
                  <c:v>5.7231745358765004E-2</c:v>
                </c:pt>
                <c:pt idx="56">
                  <c:v>5.6149208588072652E-2</c:v>
                </c:pt>
                <c:pt idx="57">
                  <c:v>5.5099845629920818E-2</c:v>
                </c:pt>
                <c:pt idx="58">
                  <c:v>5.4082328114651537E-2</c:v>
                </c:pt>
                <c:pt idx="59">
                  <c:v>5.3095390161222666E-2</c:v>
                </c:pt>
                <c:pt idx="60">
                  <c:v>5.2137825193692047E-2</c:v>
                </c:pt>
                <c:pt idx="61">
                  <c:v>5.1208482915996729E-2</c:v>
                </c:pt>
                <c:pt idx="62">
                  <c:v>5.0306266439249521E-2</c:v>
                </c:pt>
                <c:pt idx="63">
                  <c:v>4.9430129555586691E-2</c:v>
                </c:pt>
                <c:pt idx="64">
                  <c:v>4.8579074152498666E-2</c:v>
                </c:pt>
                <c:pt idx="65">
                  <c:v>4.7752147761549332E-2</c:v>
                </c:pt>
                <c:pt idx="66">
                  <c:v>4.694844123541897E-2</c:v>
                </c:pt>
                <c:pt idx="67">
                  <c:v>4.6167086547284727E-2</c:v>
                </c:pt>
                <c:pt idx="68">
                  <c:v>4.5407254706670758E-2</c:v>
                </c:pt>
                <c:pt idx="69">
                  <c:v>4.4668153786043427E-2</c:v>
                </c:pt>
                <c:pt idx="70">
                  <c:v>4.3949027052596609E-2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0E-4548-97B5-27C3F933ED23}"/>
            </c:ext>
          </c:extLst>
        </c:ser>
        <c:ser>
          <c:idx val="3"/>
          <c:order val="3"/>
          <c:tx>
            <c:strRef>
              <c:f>Sheet1!$E$109</c:f>
              <c:strCache>
                <c:ptCount val="1"/>
                <c:pt idx="0">
                  <c:v>LR = 0.8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Sheet1!$E$110:$E$180</c:f>
              <c:numCache>
                <c:formatCode>General</c:formatCode>
                <c:ptCount val="71"/>
                <c:pt idx="0">
                  <c:v>0.25123100378328034</c:v>
                </c:pt>
                <c:pt idx="1">
                  <c:v>0.23856504382363847</c:v>
                </c:pt>
                <c:pt idx="2">
                  <c:v>0.22647506959622532</c:v>
                </c:pt>
                <c:pt idx="3">
                  <c:v>0.21496761243214618</c:v>
                </c:pt>
                <c:pt idx="4">
                  <c:v>0.20404316760532115</c:v>
                </c:pt>
                <c:pt idx="5">
                  <c:v>0.19369668270158519</c:v>
                </c:pt>
                <c:pt idx="6">
                  <c:v>0.1839181742478106</c:v>
                </c:pt>
                <c:pt idx="7">
                  <c:v>0.17469342959230824</c:v>
                </c:pt>
                <c:pt idx="8">
                  <c:v>0.16600475012262567</c:v>
                </c:pt>
                <c:pt idx="9">
                  <c:v>0.15783169559233057</c:v>
                </c:pt>
                <c:pt idx="10">
                  <c:v>0.15015179614441843</c:v>
                </c:pt>
                <c:pt idx="11">
                  <c:v>0.14294120701246235</c:v>
                </c:pt>
                <c:pt idx="12">
                  <c:v>0.13617528950244306</c:v>
                </c:pt>
                <c:pt idx="13">
                  <c:v>0.12982910972227452</c:v>
                </c:pt>
                <c:pt idx="14">
                  <c:v>0.12387785304526787</c:v>
                </c:pt>
                <c:pt idx="15">
                  <c:v>0.11829715723185275</c:v>
                </c:pt>
                <c:pt idx="16">
                  <c:v>0.11306337051544055</c:v>
                </c:pt>
                <c:pt idx="17">
                  <c:v>0.10815374297125872</c:v>
                </c:pt>
                <c:pt idx="18">
                  <c:v>0.10354656039791887</c:v>
                </c:pt>
                <c:pt idx="19">
                  <c:v>9.9221230033434915E-2</c:v>
                </c:pt>
                <c:pt idx="20">
                  <c:v>9.5158326960570888E-2</c:v>
                </c:pt>
                <c:pt idx="21">
                  <c:v>9.1339609248035608E-2</c:v>
                </c:pt>
                <c:pt idx="22">
                  <c:v>8.7748008892251927E-2</c:v>
                </c:pt>
                <c:pt idx="23">
                  <c:v>8.4367604590429662E-2</c:v>
                </c:pt>
                <c:pt idx="24">
                  <c:v>8.1183581370606078E-2</c:v>
                </c:pt>
                <c:pt idx="25">
                  <c:v>7.8182181177574875E-2</c:v>
                </c:pt>
                <c:pt idx="26">
                  <c:v>7.5350647691040315E-2</c:v>
                </c:pt>
                <c:pt idx="27">
                  <c:v>7.2677167943278803E-2</c:v>
                </c:pt>
                <c:pt idx="28">
                  <c:v>7.0150812706698748E-2</c:v>
                </c:pt>
                <c:pt idx="29">
                  <c:v>6.776147712913029E-2</c:v>
                </c:pt>
                <c:pt idx="30">
                  <c:v>6.5499822695274712E-2</c:v>
                </c:pt>
                <c:pt idx="31">
                  <c:v>6.3357221274007947E-2</c:v>
                </c:pt>
                <c:pt idx="32">
                  <c:v>6.1325701760746296E-2</c:v>
                </c:pt>
                <c:pt idx="33">
                  <c:v>5.939789963022267E-2</c:v>
                </c:pt>
                <c:pt idx="34">
                  <c:v>5.7567009567415214E-2</c:v>
                </c:pt>
                <c:pt idx="35">
                  <c:v>5.5826741234001255E-2</c:v>
                </c:pt>
                <c:pt idx="36">
                  <c:v>5.417127814695509E-2</c:v>
                </c:pt>
                <c:pt idx="37">
                  <c:v>5.2595239588413112E-2</c:v>
                </c:pt>
                <c:pt idx="38">
                  <c:v>5.1093645426497816E-2</c:v>
                </c:pt>
                <c:pt idx="39">
                  <c:v>4.9661883701214271E-2</c:v>
                </c:pt>
                <c:pt idx="40">
                  <c:v>4.8295680814442091E-2</c:v>
                </c:pt>
                <c:pt idx="41">
                  <c:v>4.6991074155776566E-2</c:v>
                </c:pt>
                <c:pt idx="42">
                  <c:v>4.5744386994437454E-2</c:v>
                </c:pt>
                <c:pt idx="43">
                  <c:v>4.4552205470029138E-2</c:v>
                </c:pt>
                <c:pt idx="44">
                  <c:v>4.3411357520359545E-2</c:v>
                </c:pt>
                <c:pt idx="45">
                  <c:v>4.2318893591845541E-2</c:v>
                </c:pt>
                <c:pt idx="46">
                  <c:v>4.1272068986531525E-2</c:v>
                </c:pt>
                <c:pt idx="47">
                  <c:v>4.0268327708892285E-2</c:v>
                </c:pt>
                <c:pt idx="48">
                  <c:v>3.9305287684982856E-2</c:v>
                </c:pt>
                <c:pt idx="49">
                  <c:v>3.8380727235858988E-2</c:v>
                </c:pt>
                <c:pt idx="50">
                  <c:v>3.7492572696319365E-2</c:v>
                </c:pt>
                <c:pt idx="51">
                  <c:v>3.6638887078782489E-2</c:v>
                </c:pt>
                <c:pt idx="52">
                  <c:v>3.5817859690422962E-2</c:v>
                </c:pt>
                <c:pt idx="53">
                  <c:v>3.5027796619498182E-2</c:v>
                </c:pt>
                <c:pt idx="54">
                  <c:v>3.4267112014081356E-2</c:v>
                </c:pt>
                <c:pt idx="55">
                  <c:v>3.3534320083166827E-2</c:v>
                </c:pt>
                <c:pt idx="56">
                  <c:v>3.2828027756346218E-2</c:v>
                </c:pt>
                <c:pt idx="57">
                  <c:v>3.2146927943981787E-2</c:v>
                </c:pt>
                <c:pt idx="58">
                  <c:v>3.1489793345050685E-2</c:v>
                </c:pt>
                <c:pt idx="59">
                  <c:v>3.0855470754632068E-2</c:v>
                </c:pt>
                <c:pt idx="60">
                  <c:v>3.0242875827384989E-2</c:v>
                </c:pt>
                <c:pt idx="61">
                  <c:v>2.9650988257347674E-2</c:v>
                </c:pt>
                <c:pt idx="62">
                  <c:v>2.907884733801392E-2</c:v>
                </c:pt>
                <c:pt idx="63">
                  <c:v>2.8525547869931826E-2</c:v>
                </c:pt>
                <c:pt idx="64">
                  <c:v>2.7990236386058229E-2</c:v>
                </c:pt>
                <c:pt idx="65">
                  <c:v>2.7472107667810254E-2</c:v>
                </c:pt>
                <c:pt idx="66">
                  <c:v>2.6970401527213275E-2</c:v>
                </c:pt>
                <c:pt idx="67">
                  <c:v>2.6484399832769061E-2</c:v>
                </c:pt>
                <c:pt idx="68">
                  <c:v>2.601342375868617E-2</c:v>
                </c:pt>
                <c:pt idx="69">
                  <c:v>2.5556831238942111E-2</c:v>
                </c:pt>
                <c:pt idx="70">
                  <c:v>2.5114014609302272E-2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0E-4548-97B5-27C3F933ED23}"/>
            </c:ext>
          </c:extLst>
        </c:ser>
        <c:ser>
          <c:idx val="4"/>
          <c:order val="4"/>
          <c:tx>
            <c:strRef>
              <c:f>Sheet1!$F$109</c:f>
              <c:strCache>
                <c:ptCount val="1"/>
                <c:pt idx="0">
                  <c:v>LR = 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Sheet1!$F$110:$F$180</c:f>
              <c:numCache>
                <c:formatCode>General</c:formatCode>
                <c:ptCount val="71"/>
                <c:pt idx="0">
                  <c:v>0.25123100378328034</c:v>
                </c:pt>
                <c:pt idx="1">
                  <c:v>0.23544473500905203</c:v>
                </c:pt>
                <c:pt idx="2">
                  <c:v>0.22056349486372151</c:v>
                </c:pt>
                <c:pt idx="3">
                  <c:v>0.20659639350729275</c:v>
                </c:pt>
                <c:pt idx="4">
                  <c:v>0.19353821726042364</c:v>
                </c:pt>
                <c:pt idx="5">
                  <c:v>0.18137113916430289</c:v>
                </c:pt>
                <c:pt idx="6">
                  <c:v>0.17006681640358551</c:v>
                </c:pt>
                <c:pt idx="7">
                  <c:v>0.15958866570099658</c:v>
                </c:pt>
                <c:pt idx="8">
                  <c:v>0.14989412537161886</c:v>
                </c:pt>
                <c:pt idx="9">
                  <c:v>0.14093675395098185</c:v>
                </c:pt>
                <c:pt idx="10">
                  <c:v>0.13266806615996823</c:v>
                </c:pt>
                <c:pt idx="11">
                  <c:v>0.1250390560201394</c:v>
                </c:pt>
                <c:pt idx="12">
                  <c:v>0.11800139714158758</c:v>
                </c:pt>
                <c:pt idx="13">
                  <c:v>0.11150833877202847</c:v>
                </c:pt>
                <c:pt idx="14">
                  <c:v>0.10551533341421135</c:v>
                </c:pt>
                <c:pt idx="15">
                  <c:v>9.9980439702291868E-2</c:v>
                </c:pt>
                <c:pt idx="16">
                  <c:v>9.4864545382299534E-2</c:v>
                </c:pt>
                <c:pt idx="17">
                  <c:v>9.0131452143476759E-2</c:v>
                </c:pt>
                <c:pt idx="18">
                  <c:v>8.5747858692460488E-2</c:v>
                </c:pt>
                <c:pt idx="19">
                  <c:v>8.1683272277132568E-2</c:v>
                </c:pt>
                <c:pt idx="20">
                  <c:v>7.7909872761733834E-2</c:v>
                </c:pt>
                <c:pt idx="21">
                  <c:v>7.440234783744791E-2</c:v>
                </c:pt>
                <c:pt idx="22">
                  <c:v>7.1137713249345702E-2</c:v>
                </c:pt>
                <c:pt idx="23">
                  <c:v>6.8095128078751566E-2</c:v>
                </c:pt>
                <c:pt idx="24">
                  <c:v>6.525571208553313E-2</c:v>
                </c:pt>
                <c:pt idx="25">
                  <c:v>6.2602369784469841E-2</c:v>
                </c:pt>
                <c:pt idx="26">
                  <c:v>6.0119624184904914E-2</c:v>
                </c:pt>
                <c:pt idx="27">
                  <c:v>5.7793461847661765E-2</c:v>
                </c:pt>
                <c:pt idx="28">
                  <c:v>5.561119000461183E-2</c:v>
                </c:pt>
                <c:pt idx="29">
                  <c:v>5.3561305857351416E-2</c:v>
                </c:pt>
                <c:pt idx="30">
                  <c:v>5.163337775157871E-2</c:v>
                </c:pt>
                <c:pt idx="31">
                  <c:v>4.9817937657254452E-2</c:v>
                </c:pt>
                <c:pt idx="32">
                  <c:v>4.8106384228485566E-2</c:v>
                </c:pt>
                <c:pt idx="33">
                  <c:v>4.6490895638740815E-2</c:v>
                </c:pt>
                <c:pt idx="34">
                  <c:v>4.496435136221532E-2</c:v>
                </c:pt>
                <c:pt idx="35">
                  <c:v>4.3520262083096117E-2</c:v>
                </c:pt>
                <c:pt idx="36">
                  <c:v>4.2152706948253141E-2</c:v>
                </c:pt>
                <c:pt idx="37">
                  <c:v>4.0856277426300831E-2</c:v>
                </c:pt>
                <c:pt idx="38">
                  <c:v>3.9626027090627923E-2</c:v>
                </c:pt>
                <c:pt idx="39">
                  <c:v>3.8457426701458547E-2</c:v>
                </c:pt>
                <c:pt idx="40">
                  <c:v>3.7346324019357266E-2</c:v>
                </c:pt>
                <c:pt idx="41">
                  <c:v>3.6288907837929485E-2</c:v>
                </c:pt>
                <c:pt idx="42">
                  <c:v>3.5281675775659625E-2</c:v>
                </c:pt>
                <c:pt idx="43">
                  <c:v>3.4321405415242943E-2</c:v>
                </c:pt>
                <c:pt idx="44">
                  <c:v>3.3405128423136254E-2</c:v>
                </c:pt>
                <c:pt idx="45">
                  <c:v>3.2530107322345951E-2</c:v>
                </c:pt>
                <c:pt idx="46">
                  <c:v>3.169381462780374E-2</c:v>
                </c:pt>
                <c:pt idx="47">
                  <c:v>3.0893914086269965E-2</c:v>
                </c:pt>
                <c:pt idx="48">
                  <c:v>3.0128243791810713E-2</c:v>
                </c:pt>
                <c:pt idx="49">
                  <c:v>2.9394800973810593E-2</c:v>
                </c:pt>
                <c:pt idx="50">
                  <c:v>2.8691728277498343E-2</c:v>
                </c:pt>
                <c:pt idx="51">
                  <c:v>2.8017301377367718E-2</c:v>
                </c:pt>
                <c:pt idx="52">
                  <c:v>2.7369917781938154E-2</c:v>
                </c:pt>
                <c:pt idx="53">
                  <c:v>2.6748086704276804E-2</c:v>
                </c:pt>
                <c:pt idx="54">
                  <c:v>2.6150419886824563E-2</c:v>
                </c:pt>
                <c:pt idx="55">
                  <c:v>2.5575623281544717E-2</c:v>
                </c:pt>
                <c:pt idx="56">
                  <c:v>2.5022489497436608E-2</c:v>
                </c:pt>
                <c:pt idx="57">
                  <c:v>2.4489890937193483E-2</c:v>
                </c:pt>
                <c:pt idx="58">
                  <c:v>2.3976773553390611E-2</c:v>
                </c:pt>
                <c:pt idx="59">
                  <c:v>2.3482151162195118E-2</c:v>
                </c:pt>
                <c:pt idx="60">
                  <c:v>2.3005100259318009E-2</c:v>
                </c:pt>
                <c:pt idx="61">
                  <c:v>2.2544755288879975E-2</c:v>
                </c:pt>
                <c:pt idx="62">
                  <c:v>2.2100304321134304E-2</c:v>
                </c:pt>
                <c:pt idx="63">
                  <c:v>2.1670985099660006E-2</c:v>
                </c:pt>
                <c:pt idx="64">
                  <c:v>2.125608142277851E-2</c:v>
                </c:pt>
                <c:pt idx="65">
                  <c:v>2.0854919827622196E-2</c:v>
                </c:pt>
                <c:pt idx="66">
                  <c:v>2.0466866548546327E-2</c:v>
                </c:pt>
                <c:pt idx="67">
                  <c:v>2.0091324724476702E-2</c:v>
                </c:pt>
                <c:pt idx="68">
                  <c:v>1.9727731832366147E-2</c:v>
                </c:pt>
                <c:pt idx="69">
                  <c:v>1.937555732623112E-2</c:v>
                </c:pt>
                <c:pt idx="70">
                  <c:v>1.9034300463288176E-2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0E-4548-97B5-27C3F933ED23}"/>
            </c:ext>
          </c:extLst>
        </c:ser>
        <c:ser>
          <c:idx val="5"/>
          <c:order val="5"/>
          <c:tx>
            <c:strRef>
              <c:f>Sheet1!$G$109</c:f>
              <c:strCache>
                <c:ptCount val="1"/>
                <c:pt idx="0">
                  <c:v>LR = 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Sheet1!$G$110:$G$180</c:f>
              <c:numCache>
                <c:formatCode>General</c:formatCode>
                <c:ptCount val="71"/>
                <c:pt idx="0">
                  <c:v>0.25123100378328034</c:v>
                </c:pt>
                <c:pt idx="1">
                  <c:v>0.22013536541088657</c:v>
                </c:pt>
                <c:pt idx="2">
                  <c:v>0.19273633276209581</c:v>
                </c:pt>
                <c:pt idx="3">
                  <c:v>0.16896896291174843</c:v>
                </c:pt>
                <c:pt idx="4">
                  <c:v>0.1485858668878427</c:v>
                </c:pt>
                <c:pt idx="5">
                  <c:v>0.13122959320149896</c:v>
                </c:pt>
                <c:pt idx="6">
                  <c:v>0.11649976279993243</c:v>
                </c:pt>
                <c:pt idx="7">
                  <c:v>0.10400187469132857</c:v>
                </c:pt>
                <c:pt idx="8">
                  <c:v>9.3375747489364697E-2</c:v>
                </c:pt>
                <c:pt idx="9">
                  <c:v>8.4307850295335399E-2</c:v>
                </c:pt>
                <c:pt idx="10">
                  <c:v>7.6533306407984322E-2</c:v>
                </c:pt>
                <c:pt idx="11">
                  <c:v>6.9832383122686303E-2</c:v>
                </c:pt>
                <c:pt idx="12">
                  <c:v>6.4024671068194372E-2</c:v>
                </c:pt>
                <c:pt idx="13">
                  <c:v>5.8962781740664383E-2</c:v>
                </c:pt>
                <c:pt idx="14">
                  <c:v>5.4526464569960943E-2</c:v>
                </c:pt>
                <c:pt idx="15">
                  <c:v>5.061750097102008E-2</c:v>
                </c:pt>
                <c:pt idx="16">
                  <c:v>4.7155447532859843E-2</c:v>
                </c:pt>
                <c:pt idx="17">
                  <c:v>4.4074168395745197E-2</c:v>
                </c:pt>
                <c:pt idx="18">
                  <c:v>4.1319047504192782E-2</c:v>
                </c:pt>
                <c:pt idx="19">
                  <c:v>3.8844762996506882E-2</c:v>
                </c:pt>
                <c:pt idx="20">
                  <c:v>3.6613515596378009E-2</c:v>
                </c:pt>
                <c:pt idx="21">
                  <c:v>3.459361878083711E-2</c:v>
                </c:pt>
                <c:pt idx="22">
                  <c:v>3.2758375148212872E-2</c:v>
                </c:pt>
                <c:pt idx="23">
                  <c:v>3.1085178454933228E-2</c:v>
                </c:pt>
                <c:pt idx="24">
                  <c:v>2.9554793475955778E-2</c:v>
                </c:pt>
                <c:pt idx="25">
                  <c:v>2.8150776144587025E-2</c:v>
                </c:pt>
                <c:pt idx="26">
                  <c:v>2.6859004611793667E-2</c:v>
                </c:pt>
                <c:pt idx="27">
                  <c:v>2.5667298285857468E-2</c:v>
                </c:pt>
                <c:pt idx="28">
                  <c:v>2.4565106914870578E-2</c:v>
                </c:pt>
                <c:pt idx="29">
                  <c:v>2.3543255657309699E-2</c:v>
                </c:pt>
                <c:pt idx="30">
                  <c:v>2.2593735096961273E-2</c:v>
                </c:pt>
                <c:pt idx="31">
                  <c:v>2.1709527494968513E-2</c:v>
                </c:pt>
                <c:pt idx="32">
                  <c:v>2.0884462388068577E-2</c:v>
                </c:pt>
                <c:pt idx="33">
                  <c:v>2.0113096057652269E-2</c:v>
                </c:pt>
                <c:pt idx="34">
                  <c:v>1.939061050098723E-2</c:v>
                </c:pt>
                <c:pt idx="35">
                  <c:v>1.8712728404235032E-2</c:v>
                </c:pt>
                <c:pt idx="36">
                  <c:v>1.8075641300697616E-2</c:v>
                </c:pt>
                <c:pt idx="37">
                  <c:v>1.7475948638369425E-2</c:v>
                </c:pt>
                <c:pt idx="38">
                  <c:v>1.691060591004033E-2</c:v>
                </c:pt>
                <c:pt idx="39">
                  <c:v>1.6376880341265245E-2</c:v>
                </c:pt>
                <c:pt idx="40">
                  <c:v>1.5872312905272638E-2</c:v>
                </c:pt>
                <c:pt idx="41">
                  <c:v>1.5394685653856873E-2</c:v>
                </c:pt>
                <c:pt idx="42">
                  <c:v>1.4941993530761425E-2</c:v>
                </c:pt>
                <c:pt idx="43">
                  <c:v>1.4512419977790285E-2</c:v>
                </c:pt>
                <c:pt idx="44">
                  <c:v>1.4104315760744663E-2</c:v>
                </c:pt>
                <c:pt idx="45">
                  <c:v>1.3716180537654617E-2</c:v>
                </c:pt>
                <c:pt idx="46">
                  <c:v>1.3346646769898739E-2</c:v>
                </c:pt>
                <c:pt idx="47">
                  <c:v>1.2994465641029249E-2</c:v>
                </c:pt>
                <c:pt idx="48">
                  <c:v>1.2658494701104962E-2</c:v>
                </c:pt>
                <c:pt idx="49">
                  <c:v>1.2337686998194937E-2</c:v>
                </c:pt>
                <c:pt idx="50">
                  <c:v>1.2031081495144497E-2</c:v>
                </c:pt>
                <c:pt idx="51">
                  <c:v>1.1737794600051102E-2</c:v>
                </c:pt>
                <c:pt idx="52">
                  <c:v>1.1457012664268629E-2</c:v>
                </c:pt>
                <c:pt idx="53">
                  <c:v>1.1187985323033452E-2</c:v>
                </c:pt>
                <c:pt idx="54">
                  <c:v>1.0930019571694314E-2</c:v>
                </c:pt>
                <c:pt idx="55">
                  <c:v>1.0682474485615111E-2</c:v>
                </c:pt>
                <c:pt idx="56">
                  <c:v>1.0444756504579655E-2</c:v>
                </c:pt>
                <c:pt idx="57">
                  <c:v>1.0216315213347647E-2</c:v>
                </c:pt>
                <c:pt idx="58">
                  <c:v>9.9966395592118069E-3</c:v>
                </c:pt>
                <c:pt idx="59">
                  <c:v>9.7852544552492829E-3</c:v>
                </c:pt>
                <c:pt idx="60">
                  <c:v>9.5817177246632634E-3</c:v>
                </c:pt>
                <c:pt idx="61">
                  <c:v>9.3856173473530098E-3</c:v>
                </c:pt>
                <c:pt idx="62">
                  <c:v>9.1965689747818269E-3</c:v>
                </c:pt>
                <c:pt idx="63">
                  <c:v>9.0142136834558198E-3</c:v>
                </c:pt>
                <c:pt idx="64">
                  <c:v>8.8382159409884226E-3</c:v>
                </c:pt>
                <c:pt idx="65">
                  <c:v>8.6682617618895966E-3</c:v>
                </c:pt>
                <c:pt idx="66">
                  <c:v>8.5040570329613357E-3</c:v>
                </c:pt>
                <c:pt idx="67">
                  <c:v>8.3453259905612032E-3</c:v>
                </c:pt>
                <c:pt idx="68">
                  <c:v>8.1918098340659044E-3</c:v>
                </c:pt>
                <c:pt idx="69">
                  <c:v>8.0432654616722377E-3</c:v>
                </c:pt>
                <c:pt idx="70">
                  <c:v>7.8994643162480574E-3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0E-4548-97B5-27C3F933E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1609727"/>
        <c:axId val="751611375"/>
      </c:lineChart>
      <c:catAx>
        <c:axId val="751609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11375"/>
        <c:crosses val="autoZero"/>
        <c:auto val="1"/>
        <c:lblAlgn val="ctr"/>
        <c:lblOffset val="100"/>
        <c:noMultiLvlLbl val="0"/>
      </c:catAx>
      <c:valAx>
        <c:axId val="75161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609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190500</xdr:rowOff>
    </xdr:from>
    <xdr:to>
      <xdr:col>2</xdr:col>
      <xdr:colOff>787400</xdr:colOff>
      <xdr:row>4</xdr:row>
      <xdr:rowOff>177800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8841F53A-C674-8442-AC55-C7AEDA6D275D}"/>
            </a:ext>
          </a:extLst>
        </xdr:cNvPr>
        <xdr:cNvSpPr/>
      </xdr:nvSpPr>
      <xdr:spPr>
        <a:xfrm>
          <a:off x="1727200" y="393700"/>
          <a:ext cx="711200" cy="596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/>
            <a:t>i1</a:t>
          </a:r>
        </a:p>
      </xdr:txBody>
    </xdr:sp>
    <xdr:clientData/>
  </xdr:twoCellAnchor>
  <xdr:twoCellAnchor>
    <xdr:from>
      <xdr:col>2</xdr:col>
      <xdr:colOff>139700</xdr:colOff>
      <xdr:row>10</xdr:row>
      <xdr:rowOff>114300</xdr:rowOff>
    </xdr:from>
    <xdr:to>
      <xdr:col>3</xdr:col>
      <xdr:colOff>25400</xdr:colOff>
      <xdr:row>13</xdr:row>
      <xdr:rowOff>101600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FDA9F234-72F2-0E4F-8269-C09D62A6A8B6}"/>
            </a:ext>
          </a:extLst>
        </xdr:cNvPr>
        <xdr:cNvSpPr/>
      </xdr:nvSpPr>
      <xdr:spPr>
        <a:xfrm>
          <a:off x="1790700" y="2146300"/>
          <a:ext cx="711200" cy="596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/>
            <a:t>i2</a:t>
          </a:r>
        </a:p>
      </xdr:txBody>
    </xdr:sp>
    <xdr:clientData/>
  </xdr:twoCellAnchor>
  <xdr:twoCellAnchor>
    <xdr:from>
      <xdr:col>4</xdr:col>
      <xdr:colOff>749300</xdr:colOff>
      <xdr:row>1</xdr:row>
      <xdr:rowOff>190500</xdr:rowOff>
    </xdr:from>
    <xdr:to>
      <xdr:col>5</xdr:col>
      <xdr:colOff>635000</xdr:colOff>
      <xdr:row>4</xdr:row>
      <xdr:rowOff>177800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5AEBD576-BDA5-4249-A641-7EC46FFD134E}"/>
            </a:ext>
          </a:extLst>
        </xdr:cNvPr>
        <xdr:cNvSpPr/>
      </xdr:nvSpPr>
      <xdr:spPr>
        <a:xfrm>
          <a:off x="4051300" y="393700"/>
          <a:ext cx="711200" cy="596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685800</xdr:colOff>
      <xdr:row>2</xdr:row>
      <xdr:rowOff>0</xdr:rowOff>
    </xdr:from>
    <xdr:to>
      <xdr:col>6</xdr:col>
      <xdr:colOff>571500</xdr:colOff>
      <xdr:row>4</xdr:row>
      <xdr:rowOff>190500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9EAA252C-88A3-C74B-ABAB-424C63564998}"/>
            </a:ext>
          </a:extLst>
        </xdr:cNvPr>
        <xdr:cNvSpPr/>
      </xdr:nvSpPr>
      <xdr:spPr>
        <a:xfrm>
          <a:off x="4813300" y="406400"/>
          <a:ext cx="711200" cy="596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800100</xdr:colOff>
      <xdr:row>10</xdr:row>
      <xdr:rowOff>76200</xdr:rowOff>
    </xdr:from>
    <xdr:to>
      <xdr:col>5</xdr:col>
      <xdr:colOff>685800</xdr:colOff>
      <xdr:row>13</xdr:row>
      <xdr:rowOff>63500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4EF513B-5C5A-5C4F-A18E-FBADF2D84D98}"/>
            </a:ext>
          </a:extLst>
        </xdr:cNvPr>
        <xdr:cNvSpPr/>
      </xdr:nvSpPr>
      <xdr:spPr>
        <a:xfrm>
          <a:off x="4102100" y="2108200"/>
          <a:ext cx="711200" cy="596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736600</xdr:colOff>
      <xdr:row>10</xdr:row>
      <xdr:rowOff>88900</xdr:rowOff>
    </xdr:from>
    <xdr:to>
      <xdr:col>6</xdr:col>
      <xdr:colOff>622300</xdr:colOff>
      <xdr:row>13</xdr:row>
      <xdr:rowOff>76200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6CDF2962-3998-ED4F-824F-89B0AF4AEE71}"/>
            </a:ext>
          </a:extLst>
        </xdr:cNvPr>
        <xdr:cNvSpPr/>
      </xdr:nvSpPr>
      <xdr:spPr>
        <a:xfrm>
          <a:off x="4864100" y="2120900"/>
          <a:ext cx="711200" cy="596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749300</xdr:colOff>
      <xdr:row>1</xdr:row>
      <xdr:rowOff>190500</xdr:rowOff>
    </xdr:from>
    <xdr:to>
      <xdr:col>5</xdr:col>
      <xdr:colOff>635000</xdr:colOff>
      <xdr:row>4</xdr:row>
      <xdr:rowOff>177800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296A205C-E355-5647-B0A4-1440E59EDB37}"/>
            </a:ext>
          </a:extLst>
        </xdr:cNvPr>
        <xdr:cNvSpPr/>
      </xdr:nvSpPr>
      <xdr:spPr>
        <a:xfrm>
          <a:off x="4051300" y="393700"/>
          <a:ext cx="711200" cy="59690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/>
            <a:t>h1</a:t>
          </a:r>
        </a:p>
      </xdr:txBody>
    </xdr:sp>
    <xdr:clientData/>
  </xdr:twoCellAnchor>
  <xdr:twoCellAnchor>
    <xdr:from>
      <xdr:col>5</xdr:col>
      <xdr:colOff>685800</xdr:colOff>
      <xdr:row>2</xdr:row>
      <xdr:rowOff>0</xdr:rowOff>
    </xdr:from>
    <xdr:to>
      <xdr:col>6</xdr:col>
      <xdr:colOff>571500</xdr:colOff>
      <xdr:row>4</xdr:row>
      <xdr:rowOff>190500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F5E95353-73C4-954E-AEBA-4B9EE5E9727E}"/>
            </a:ext>
          </a:extLst>
        </xdr:cNvPr>
        <xdr:cNvSpPr/>
      </xdr:nvSpPr>
      <xdr:spPr>
        <a:xfrm>
          <a:off x="4813300" y="406400"/>
          <a:ext cx="711200" cy="5969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/>
            <a:t>a_h1</a:t>
          </a:r>
        </a:p>
      </xdr:txBody>
    </xdr:sp>
    <xdr:clientData/>
  </xdr:twoCellAnchor>
  <xdr:twoCellAnchor>
    <xdr:from>
      <xdr:col>4</xdr:col>
      <xdr:colOff>800100</xdr:colOff>
      <xdr:row>10</xdr:row>
      <xdr:rowOff>76200</xdr:rowOff>
    </xdr:from>
    <xdr:to>
      <xdr:col>5</xdr:col>
      <xdr:colOff>685800</xdr:colOff>
      <xdr:row>13</xdr:row>
      <xdr:rowOff>63500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20A27AEB-93C2-354C-8511-FD6B43281C7D}"/>
            </a:ext>
          </a:extLst>
        </xdr:cNvPr>
        <xdr:cNvSpPr/>
      </xdr:nvSpPr>
      <xdr:spPr>
        <a:xfrm>
          <a:off x="4102100" y="2108200"/>
          <a:ext cx="711200" cy="596900"/>
        </a:xfrm>
        <a:prstGeom prst="ellips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/>
            <a:t>h2</a:t>
          </a:r>
        </a:p>
      </xdr:txBody>
    </xdr:sp>
    <xdr:clientData/>
  </xdr:twoCellAnchor>
  <xdr:twoCellAnchor>
    <xdr:from>
      <xdr:col>5</xdr:col>
      <xdr:colOff>736600</xdr:colOff>
      <xdr:row>10</xdr:row>
      <xdr:rowOff>88900</xdr:rowOff>
    </xdr:from>
    <xdr:to>
      <xdr:col>6</xdr:col>
      <xdr:colOff>622300</xdr:colOff>
      <xdr:row>13</xdr:row>
      <xdr:rowOff>76200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807AAFF8-5ADA-8B4D-B37F-C1FBD6D2140C}"/>
            </a:ext>
          </a:extLst>
        </xdr:cNvPr>
        <xdr:cNvSpPr/>
      </xdr:nvSpPr>
      <xdr:spPr>
        <a:xfrm>
          <a:off x="4864100" y="2120900"/>
          <a:ext cx="711200" cy="5969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/>
            <a:t>a_</a:t>
          </a:r>
          <a:r>
            <a:rPr lang="en-GB" sz="1200">
              <a:solidFill>
                <a:schemeClr val="lt1"/>
              </a:solidFill>
              <a:latin typeface="+mn-lt"/>
              <a:ea typeface="+mn-ea"/>
              <a:cs typeface="+mn-cs"/>
            </a:rPr>
            <a:t>h2</a:t>
          </a:r>
        </a:p>
      </xdr:txBody>
    </xdr:sp>
    <xdr:clientData/>
  </xdr:twoCellAnchor>
  <xdr:twoCellAnchor>
    <xdr:from>
      <xdr:col>8</xdr:col>
      <xdr:colOff>0</xdr:colOff>
      <xdr:row>1</xdr:row>
      <xdr:rowOff>177800</xdr:rowOff>
    </xdr:from>
    <xdr:to>
      <xdr:col>8</xdr:col>
      <xdr:colOff>711200</xdr:colOff>
      <xdr:row>4</xdr:row>
      <xdr:rowOff>165100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620AC7C7-4AE1-5C42-ACFC-429294089DEB}"/>
            </a:ext>
          </a:extLst>
        </xdr:cNvPr>
        <xdr:cNvSpPr/>
      </xdr:nvSpPr>
      <xdr:spPr>
        <a:xfrm>
          <a:off x="6604000" y="381000"/>
          <a:ext cx="711200" cy="596900"/>
        </a:xfrm>
        <a:prstGeom prst="ellipse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/>
            <a:t>O1</a:t>
          </a:r>
        </a:p>
      </xdr:txBody>
    </xdr:sp>
    <xdr:clientData/>
  </xdr:twoCellAnchor>
  <xdr:twoCellAnchor>
    <xdr:from>
      <xdr:col>8</xdr:col>
      <xdr:colOff>762000</xdr:colOff>
      <xdr:row>1</xdr:row>
      <xdr:rowOff>190500</xdr:rowOff>
    </xdr:from>
    <xdr:to>
      <xdr:col>9</xdr:col>
      <xdr:colOff>647700</xdr:colOff>
      <xdr:row>4</xdr:row>
      <xdr:rowOff>177800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ABCECCA7-D9DA-FA40-A474-981B2EDC36D7}"/>
            </a:ext>
          </a:extLst>
        </xdr:cNvPr>
        <xdr:cNvSpPr/>
      </xdr:nvSpPr>
      <xdr:spPr>
        <a:xfrm>
          <a:off x="7366000" y="393700"/>
          <a:ext cx="711200" cy="596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/>
            <a:t>a_o1</a:t>
          </a:r>
        </a:p>
      </xdr:txBody>
    </xdr:sp>
    <xdr:clientData/>
  </xdr:twoCellAnchor>
  <xdr:twoCellAnchor>
    <xdr:from>
      <xdr:col>8</xdr:col>
      <xdr:colOff>63500</xdr:colOff>
      <xdr:row>10</xdr:row>
      <xdr:rowOff>38100</xdr:rowOff>
    </xdr:from>
    <xdr:to>
      <xdr:col>8</xdr:col>
      <xdr:colOff>774700</xdr:colOff>
      <xdr:row>13</xdr:row>
      <xdr:rowOff>25400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58DBD739-52B8-A242-AC80-4B72F6BC38B8}"/>
            </a:ext>
          </a:extLst>
        </xdr:cNvPr>
        <xdr:cNvSpPr/>
      </xdr:nvSpPr>
      <xdr:spPr>
        <a:xfrm>
          <a:off x="6667500" y="2070100"/>
          <a:ext cx="711200" cy="596900"/>
        </a:xfrm>
        <a:prstGeom prst="ellipse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/>
            <a:t>O2</a:t>
          </a:r>
        </a:p>
      </xdr:txBody>
    </xdr:sp>
    <xdr:clientData/>
  </xdr:twoCellAnchor>
  <xdr:twoCellAnchor>
    <xdr:from>
      <xdr:col>8</xdr:col>
      <xdr:colOff>812800</xdr:colOff>
      <xdr:row>10</xdr:row>
      <xdr:rowOff>76200</xdr:rowOff>
    </xdr:from>
    <xdr:to>
      <xdr:col>9</xdr:col>
      <xdr:colOff>698500</xdr:colOff>
      <xdr:row>13</xdr:row>
      <xdr:rowOff>63500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F5E91C84-6560-E642-8C69-9066F4EAA206}"/>
            </a:ext>
          </a:extLst>
        </xdr:cNvPr>
        <xdr:cNvSpPr/>
      </xdr:nvSpPr>
      <xdr:spPr>
        <a:xfrm>
          <a:off x="7416800" y="2108200"/>
          <a:ext cx="711200" cy="596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/>
            <a:t>a_02</a:t>
          </a:r>
        </a:p>
      </xdr:txBody>
    </xdr:sp>
    <xdr:clientData/>
  </xdr:twoCellAnchor>
  <xdr:twoCellAnchor>
    <xdr:from>
      <xdr:col>11</xdr:col>
      <xdr:colOff>635000</xdr:colOff>
      <xdr:row>4</xdr:row>
      <xdr:rowOff>152400</xdr:rowOff>
    </xdr:from>
    <xdr:to>
      <xdr:col>13</xdr:col>
      <xdr:colOff>12700</xdr:colOff>
      <xdr:row>10</xdr:row>
      <xdr:rowOff>76200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717F9D0E-A7D8-A04A-9872-F68626625BCF}"/>
            </a:ext>
          </a:extLst>
        </xdr:cNvPr>
        <xdr:cNvSpPr/>
      </xdr:nvSpPr>
      <xdr:spPr>
        <a:xfrm>
          <a:off x="9715500" y="965200"/>
          <a:ext cx="1028700" cy="11430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/>
            <a:t>E_total</a:t>
          </a:r>
        </a:p>
      </xdr:txBody>
    </xdr:sp>
    <xdr:clientData/>
  </xdr:twoCellAnchor>
  <xdr:twoCellAnchor>
    <xdr:from>
      <xdr:col>2</xdr:col>
      <xdr:colOff>787400</xdr:colOff>
      <xdr:row>3</xdr:row>
      <xdr:rowOff>82550</xdr:rowOff>
    </xdr:from>
    <xdr:to>
      <xdr:col>4</xdr:col>
      <xdr:colOff>749300</xdr:colOff>
      <xdr:row>3</xdr:row>
      <xdr:rowOff>82550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AECD3C07-88CD-EB45-BA2B-2497709DD3E3}"/>
            </a:ext>
          </a:extLst>
        </xdr:cNvPr>
        <xdr:cNvCxnSpPr>
          <a:stCxn id="2" idx="6"/>
          <a:endCxn id="8" idx="2"/>
        </xdr:cNvCxnSpPr>
      </xdr:nvCxnSpPr>
      <xdr:spPr>
        <a:xfrm>
          <a:off x="2438400" y="692150"/>
          <a:ext cx="1612900" cy="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812800</xdr:colOff>
      <xdr:row>11</xdr:row>
      <xdr:rowOff>184150</xdr:rowOff>
    </xdr:from>
    <xdr:to>
      <xdr:col>4</xdr:col>
      <xdr:colOff>774700</xdr:colOff>
      <xdr:row>11</xdr:row>
      <xdr:rowOff>184150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A9EA44A8-BB8B-3543-9D37-B0FB4DB449CF}"/>
            </a:ext>
          </a:extLst>
        </xdr:cNvPr>
        <xdr:cNvCxnSpPr/>
      </xdr:nvCxnSpPr>
      <xdr:spPr>
        <a:xfrm>
          <a:off x="2463800" y="2419350"/>
          <a:ext cx="1612900" cy="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683247</xdr:colOff>
      <xdr:row>4</xdr:row>
      <xdr:rowOff>90386</xdr:rowOff>
    </xdr:from>
    <xdr:to>
      <xdr:col>5</xdr:col>
      <xdr:colOff>78753</xdr:colOff>
      <xdr:row>10</xdr:row>
      <xdr:rowOff>163614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E57372B3-2765-5A45-AB99-A67F94AF53BB}"/>
            </a:ext>
          </a:extLst>
        </xdr:cNvPr>
        <xdr:cNvCxnSpPr>
          <a:stCxn id="2" idx="5"/>
          <a:endCxn id="10" idx="1"/>
        </xdr:cNvCxnSpPr>
      </xdr:nvCxnSpPr>
      <xdr:spPr>
        <a:xfrm>
          <a:off x="2334247" y="903186"/>
          <a:ext cx="1872006" cy="1292428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746747</xdr:colOff>
      <xdr:row>4</xdr:row>
      <xdr:rowOff>90386</xdr:rowOff>
    </xdr:from>
    <xdr:to>
      <xdr:col>5</xdr:col>
      <xdr:colOff>27953</xdr:colOff>
      <xdr:row>10</xdr:row>
      <xdr:rowOff>201714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A1EB1480-97F3-4743-8FB2-11A35DF2ED9E}"/>
            </a:ext>
          </a:extLst>
        </xdr:cNvPr>
        <xdr:cNvCxnSpPr>
          <a:stCxn id="3" idx="7"/>
          <a:endCxn id="8" idx="3"/>
        </xdr:cNvCxnSpPr>
      </xdr:nvCxnSpPr>
      <xdr:spPr>
        <a:xfrm flipV="1">
          <a:off x="2397747" y="903186"/>
          <a:ext cx="1757706" cy="1330528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584200</xdr:colOff>
      <xdr:row>3</xdr:row>
      <xdr:rowOff>69850</xdr:rowOff>
    </xdr:from>
    <xdr:to>
      <xdr:col>8</xdr:col>
      <xdr:colOff>0</xdr:colOff>
      <xdr:row>3</xdr:row>
      <xdr:rowOff>95250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B980255D-8E11-494E-BB5A-0AA7CD92794A}"/>
            </a:ext>
          </a:extLst>
        </xdr:cNvPr>
        <xdr:cNvCxnSpPr>
          <a:endCxn id="12" idx="2"/>
        </xdr:cNvCxnSpPr>
      </xdr:nvCxnSpPr>
      <xdr:spPr>
        <a:xfrm flipV="1">
          <a:off x="5537200" y="679450"/>
          <a:ext cx="1066800" cy="2540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622300</xdr:colOff>
      <xdr:row>11</xdr:row>
      <xdr:rowOff>133350</xdr:rowOff>
    </xdr:from>
    <xdr:to>
      <xdr:col>8</xdr:col>
      <xdr:colOff>63500</xdr:colOff>
      <xdr:row>11</xdr:row>
      <xdr:rowOff>184150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D47A83E8-BF4E-2840-86AA-1514AFA5655C}"/>
            </a:ext>
          </a:extLst>
        </xdr:cNvPr>
        <xdr:cNvCxnSpPr>
          <a:stCxn id="11" idx="6"/>
          <a:endCxn id="14" idx="2"/>
        </xdr:cNvCxnSpPr>
      </xdr:nvCxnSpPr>
      <xdr:spPr>
        <a:xfrm flipV="1">
          <a:off x="5575300" y="2368550"/>
          <a:ext cx="1092200" cy="5080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454647</xdr:colOff>
      <xdr:row>4</xdr:row>
      <xdr:rowOff>77686</xdr:rowOff>
    </xdr:from>
    <xdr:to>
      <xdr:col>8</xdr:col>
      <xdr:colOff>167653</xdr:colOff>
      <xdr:row>10</xdr:row>
      <xdr:rowOff>125514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E025D3C1-6870-1845-B043-2940A0A778EC}"/>
            </a:ext>
          </a:extLst>
        </xdr:cNvPr>
        <xdr:cNvCxnSpPr>
          <a:endCxn id="14" idx="1"/>
        </xdr:cNvCxnSpPr>
      </xdr:nvCxnSpPr>
      <xdr:spPr>
        <a:xfrm>
          <a:off x="5407647" y="890486"/>
          <a:ext cx="1364006" cy="1267028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406400</xdr:colOff>
      <xdr:row>4</xdr:row>
      <xdr:rowOff>77686</xdr:rowOff>
    </xdr:from>
    <xdr:to>
      <xdr:col>8</xdr:col>
      <xdr:colOff>104153</xdr:colOff>
      <xdr:row>10</xdr:row>
      <xdr:rowOff>139700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FF8C072-88B1-214E-8353-974FBDF32DFC}"/>
            </a:ext>
          </a:extLst>
        </xdr:cNvPr>
        <xdr:cNvCxnSpPr>
          <a:endCxn id="12" idx="3"/>
        </xdr:cNvCxnSpPr>
      </xdr:nvCxnSpPr>
      <xdr:spPr>
        <a:xfrm flipV="1">
          <a:off x="5359400" y="890486"/>
          <a:ext cx="1348753" cy="1281214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657847</xdr:colOff>
      <xdr:row>3</xdr:row>
      <xdr:rowOff>115786</xdr:rowOff>
    </xdr:from>
    <xdr:to>
      <xdr:col>11</xdr:col>
      <xdr:colOff>673100</xdr:colOff>
      <xdr:row>6</xdr:row>
      <xdr:rowOff>63500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FEEE40AD-E12F-E84F-9599-DC7F0F24A329}"/>
            </a:ext>
          </a:extLst>
        </xdr:cNvPr>
        <xdr:cNvCxnSpPr/>
      </xdr:nvCxnSpPr>
      <xdr:spPr>
        <a:xfrm>
          <a:off x="8087347" y="725386"/>
          <a:ext cx="1666253" cy="557314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657847</xdr:colOff>
      <xdr:row>9</xdr:row>
      <xdr:rowOff>50800</xdr:rowOff>
    </xdr:from>
    <xdr:to>
      <xdr:col>11</xdr:col>
      <xdr:colOff>685800</xdr:colOff>
      <xdr:row>11</xdr:row>
      <xdr:rowOff>179286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8259894B-B52E-2042-9CD3-2E0CDA77E1F6}"/>
            </a:ext>
          </a:extLst>
        </xdr:cNvPr>
        <xdr:cNvCxnSpPr/>
      </xdr:nvCxnSpPr>
      <xdr:spPr>
        <a:xfrm flipV="1">
          <a:off x="8087347" y="1879600"/>
          <a:ext cx="1678953" cy="534886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279400</xdr:colOff>
      <xdr:row>1</xdr:row>
      <xdr:rowOff>190500</xdr:rowOff>
    </xdr:from>
    <xdr:to>
      <xdr:col>6</xdr:col>
      <xdr:colOff>215900</xdr:colOff>
      <xdr:row>2</xdr:row>
      <xdr:rowOff>0</xdr:rowOff>
    </xdr:to>
    <xdr:cxnSp macro="">
      <xdr:nvCxnSpPr>
        <xdr:cNvPr id="52" name="Curved Connector 51">
          <a:extLst>
            <a:ext uri="{FF2B5EF4-FFF2-40B4-BE49-F238E27FC236}">
              <a16:creationId xmlns:a16="http://schemas.microsoft.com/office/drawing/2014/main" id="{828794FA-1492-174D-8BE1-32D37FED1935}"/>
            </a:ext>
          </a:extLst>
        </xdr:cNvPr>
        <xdr:cNvCxnSpPr>
          <a:stCxn id="8" idx="0"/>
          <a:endCxn id="9" idx="0"/>
        </xdr:cNvCxnSpPr>
      </xdr:nvCxnSpPr>
      <xdr:spPr>
        <a:xfrm rot="16200000" flipH="1">
          <a:off x="4781550" y="19050"/>
          <a:ext cx="12700" cy="762000"/>
        </a:xfrm>
        <a:prstGeom prst="curvedConnector3">
          <a:avLst>
            <a:gd name="adj1" fmla="val -1800000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304800</xdr:colOff>
      <xdr:row>1</xdr:row>
      <xdr:rowOff>177800</xdr:rowOff>
    </xdr:from>
    <xdr:to>
      <xdr:col>9</xdr:col>
      <xdr:colOff>241300</xdr:colOff>
      <xdr:row>1</xdr:row>
      <xdr:rowOff>190500</xdr:rowOff>
    </xdr:to>
    <xdr:cxnSp macro="">
      <xdr:nvCxnSpPr>
        <xdr:cNvPr id="53" name="Curved Connector 52">
          <a:extLst>
            <a:ext uri="{FF2B5EF4-FFF2-40B4-BE49-F238E27FC236}">
              <a16:creationId xmlns:a16="http://schemas.microsoft.com/office/drawing/2014/main" id="{E8BE7D39-B3E9-9E40-A046-6DD3A41C2820}"/>
            </a:ext>
          </a:extLst>
        </xdr:cNvPr>
        <xdr:cNvCxnSpPr/>
      </xdr:nvCxnSpPr>
      <xdr:spPr>
        <a:xfrm rot="16200000" flipH="1">
          <a:off x="7283450" y="6350"/>
          <a:ext cx="12700" cy="762000"/>
        </a:xfrm>
        <a:prstGeom prst="curvedConnector3">
          <a:avLst>
            <a:gd name="adj1" fmla="val -1800000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330199</xdr:colOff>
      <xdr:row>12</xdr:row>
      <xdr:rowOff>191986</xdr:rowOff>
    </xdr:from>
    <xdr:to>
      <xdr:col>6</xdr:col>
      <xdr:colOff>518146</xdr:colOff>
      <xdr:row>13</xdr:row>
      <xdr:rowOff>63500</xdr:rowOff>
    </xdr:to>
    <xdr:cxnSp macro="">
      <xdr:nvCxnSpPr>
        <xdr:cNvPr id="56" name="Curved Connector 55">
          <a:extLst>
            <a:ext uri="{FF2B5EF4-FFF2-40B4-BE49-F238E27FC236}">
              <a16:creationId xmlns:a16="http://schemas.microsoft.com/office/drawing/2014/main" id="{74670AB7-7F25-7246-BCDC-1828811C37E3}"/>
            </a:ext>
          </a:extLst>
        </xdr:cNvPr>
        <xdr:cNvCxnSpPr>
          <a:stCxn id="10" idx="4"/>
          <a:endCxn id="11" idx="5"/>
        </xdr:cNvCxnSpPr>
      </xdr:nvCxnSpPr>
      <xdr:spPr>
        <a:xfrm rot="5400000" flipH="1" flipV="1">
          <a:off x="4927066" y="2161019"/>
          <a:ext cx="74714" cy="1013447"/>
        </a:xfrm>
        <a:prstGeom prst="curvedConnector3">
          <a:avLst>
            <a:gd name="adj1" fmla="val -322965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167653</xdr:colOff>
      <xdr:row>12</xdr:row>
      <xdr:rowOff>141186</xdr:rowOff>
    </xdr:from>
    <xdr:to>
      <xdr:col>9</xdr:col>
      <xdr:colOff>441947</xdr:colOff>
      <xdr:row>13</xdr:row>
      <xdr:rowOff>1486</xdr:rowOff>
    </xdr:to>
    <xdr:cxnSp macro="">
      <xdr:nvCxnSpPr>
        <xdr:cNvPr id="61" name="Curved Connector 60">
          <a:extLst>
            <a:ext uri="{FF2B5EF4-FFF2-40B4-BE49-F238E27FC236}">
              <a16:creationId xmlns:a16="http://schemas.microsoft.com/office/drawing/2014/main" id="{8213C4D5-32F0-E249-A201-0BE2B3C48950}"/>
            </a:ext>
          </a:extLst>
        </xdr:cNvPr>
        <xdr:cNvCxnSpPr>
          <a:stCxn id="14" idx="3"/>
        </xdr:cNvCxnSpPr>
      </xdr:nvCxnSpPr>
      <xdr:spPr>
        <a:xfrm rot="16200000" flipH="1">
          <a:off x="7289800" y="2061439"/>
          <a:ext cx="63500" cy="1099794"/>
        </a:xfrm>
        <a:prstGeom prst="curvedConnector4">
          <a:avLst>
            <a:gd name="adj1" fmla="val 360000"/>
            <a:gd name="adj2" fmla="val 77598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215900</xdr:colOff>
      <xdr:row>2</xdr:row>
      <xdr:rowOff>25400</xdr:rowOff>
    </xdr:from>
    <xdr:to>
      <xdr:col>4</xdr:col>
      <xdr:colOff>317500</xdr:colOff>
      <xdr:row>3</xdr:row>
      <xdr:rowOff>190500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EE2D78BC-3915-4D49-B108-BC84CF52F136}"/>
            </a:ext>
          </a:extLst>
        </xdr:cNvPr>
        <xdr:cNvSpPr txBox="1"/>
      </xdr:nvSpPr>
      <xdr:spPr>
        <a:xfrm>
          <a:off x="2692400" y="431800"/>
          <a:ext cx="927100" cy="36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w1 =  0.3	</a:t>
          </a:r>
        </a:p>
      </xdr:txBody>
    </xdr:sp>
    <xdr:clientData/>
  </xdr:twoCellAnchor>
  <xdr:twoCellAnchor>
    <xdr:from>
      <xdr:col>4</xdr:col>
      <xdr:colOff>38100</xdr:colOff>
      <xdr:row>5</xdr:row>
      <xdr:rowOff>0</xdr:rowOff>
    </xdr:from>
    <xdr:to>
      <xdr:col>5</xdr:col>
      <xdr:colOff>139700</xdr:colOff>
      <xdr:row>6</xdr:row>
      <xdr:rowOff>165100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537D1122-B799-FC42-9773-7D8BA7F8A8F0}"/>
            </a:ext>
          </a:extLst>
        </xdr:cNvPr>
        <xdr:cNvSpPr txBox="1"/>
      </xdr:nvSpPr>
      <xdr:spPr>
        <a:xfrm>
          <a:off x="3340100" y="1016000"/>
          <a:ext cx="927100" cy="36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w2 =  05	</a:t>
          </a:r>
        </a:p>
      </xdr:txBody>
    </xdr:sp>
    <xdr:clientData/>
  </xdr:twoCellAnchor>
  <xdr:twoCellAnchor>
    <xdr:from>
      <xdr:col>3</xdr:col>
      <xdr:colOff>368300</xdr:colOff>
      <xdr:row>11</xdr:row>
      <xdr:rowOff>38100</xdr:rowOff>
    </xdr:from>
    <xdr:to>
      <xdr:col>4</xdr:col>
      <xdr:colOff>469900</xdr:colOff>
      <xdr:row>13</xdr:row>
      <xdr:rowOff>0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6992D2C-AB08-194A-A8B4-6C384CDAF18A}"/>
            </a:ext>
          </a:extLst>
        </xdr:cNvPr>
        <xdr:cNvSpPr txBox="1"/>
      </xdr:nvSpPr>
      <xdr:spPr>
        <a:xfrm>
          <a:off x="2844800" y="2273300"/>
          <a:ext cx="927100" cy="36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w4</a:t>
          </a:r>
          <a:r>
            <a:rPr lang="en-GB" sz="1100" baseline="0"/>
            <a:t> </a:t>
          </a:r>
          <a:r>
            <a:rPr lang="en-GB" sz="1100"/>
            <a:t>= 0.7	</a:t>
          </a:r>
        </a:p>
      </xdr:txBody>
    </xdr:sp>
    <xdr:clientData/>
  </xdr:twoCellAnchor>
  <xdr:twoCellAnchor>
    <xdr:from>
      <xdr:col>4</xdr:col>
      <xdr:colOff>0</xdr:colOff>
      <xdr:row>8</xdr:row>
      <xdr:rowOff>63500</xdr:rowOff>
    </xdr:from>
    <xdr:to>
      <xdr:col>5</xdr:col>
      <xdr:colOff>101600</xdr:colOff>
      <xdr:row>10</xdr:row>
      <xdr:rowOff>25400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96C7B1CE-08F8-AF43-9B9A-135A326D1E5D}"/>
            </a:ext>
          </a:extLst>
        </xdr:cNvPr>
        <xdr:cNvSpPr txBox="1"/>
      </xdr:nvSpPr>
      <xdr:spPr>
        <a:xfrm>
          <a:off x="3302000" y="1689100"/>
          <a:ext cx="927100" cy="36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w3</a:t>
          </a:r>
          <a:r>
            <a:rPr lang="en-GB" sz="1100" baseline="0"/>
            <a:t> =-0.2</a:t>
          </a:r>
          <a:r>
            <a:rPr lang="en-GB" sz="1100"/>
            <a:t>	</a:t>
          </a:r>
        </a:p>
      </xdr:txBody>
    </xdr:sp>
    <xdr:clientData/>
  </xdr:twoCellAnchor>
  <xdr:twoCellAnchor>
    <xdr:from>
      <xdr:col>6</xdr:col>
      <xdr:colOff>673100</xdr:colOff>
      <xdr:row>2</xdr:row>
      <xdr:rowOff>88900</xdr:rowOff>
    </xdr:from>
    <xdr:to>
      <xdr:col>7</xdr:col>
      <xdr:colOff>774700</xdr:colOff>
      <xdr:row>4</xdr:row>
      <xdr:rowOff>50800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F542D057-8431-7147-8436-3D945B546415}"/>
            </a:ext>
          </a:extLst>
        </xdr:cNvPr>
        <xdr:cNvSpPr txBox="1"/>
      </xdr:nvSpPr>
      <xdr:spPr>
        <a:xfrm>
          <a:off x="5626100" y="495300"/>
          <a:ext cx="927100" cy="36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w5 =  0.1	</a:t>
          </a:r>
        </a:p>
      </xdr:txBody>
    </xdr:sp>
    <xdr:clientData/>
  </xdr:twoCellAnchor>
  <xdr:twoCellAnchor>
    <xdr:from>
      <xdr:col>7</xdr:col>
      <xdr:colOff>190500</xdr:colOff>
      <xdr:row>4</xdr:row>
      <xdr:rowOff>190500</xdr:rowOff>
    </xdr:from>
    <xdr:to>
      <xdr:col>8</xdr:col>
      <xdr:colOff>292100</xdr:colOff>
      <xdr:row>6</xdr:row>
      <xdr:rowOff>152400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6792668-AE3A-D44A-8F31-DF2A2F5B7D18}"/>
            </a:ext>
          </a:extLst>
        </xdr:cNvPr>
        <xdr:cNvSpPr txBox="1"/>
      </xdr:nvSpPr>
      <xdr:spPr>
        <a:xfrm>
          <a:off x="5969000" y="1003300"/>
          <a:ext cx="927100" cy="36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w6</a:t>
          </a:r>
          <a:r>
            <a:rPr lang="en-GB" sz="1100" baseline="0"/>
            <a:t> </a:t>
          </a:r>
          <a:r>
            <a:rPr lang="en-GB" sz="1100"/>
            <a:t>=  -0.6	</a:t>
          </a:r>
        </a:p>
      </xdr:txBody>
    </xdr:sp>
    <xdr:clientData/>
  </xdr:twoCellAnchor>
  <xdr:twoCellAnchor>
    <xdr:from>
      <xdr:col>7</xdr:col>
      <xdr:colOff>241300</xdr:colOff>
      <xdr:row>8</xdr:row>
      <xdr:rowOff>50800</xdr:rowOff>
    </xdr:from>
    <xdr:to>
      <xdr:col>8</xdr:col>
      <xdr:colOff>342900</xdr:colOff>
      <xdr:row>10</xdr:row>
      <xdr:rowOff>12700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373A09C2-1125-C94E-8639-865EAFF5295D}"/>
            </a:ext>
          </a:extLst>
        </xdr:cNvPr>
        <xdr:cNvSpPr txBox="1"/>
      </xdr:nvSpPr>
      <xdr:spPr>
        <a:xfrm>
          <a:off x="6019800" y="1676400"/>
          <a:ext cx="927100" cy="36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w7</a:t>
          </a:r>
          <a:r>
            <a:rPr lang="en-GB" sz="1100" baseline="0"/>
            <a:t> </a:t>
          </a:r>
          <a:r>
            <a:rPr lang="en-GB" sz="1100"/>
            <a:t>=  0.3	</a:t>
          </a:r>
        </a:p>
      </xdr:txBody>
    </xdr:sp>
    <xdr:clientData/>
  </xdr:twoCellAnchor>
  <xdr:twoCellAnchor>
    <xdr:from>
      <xdr:col>6</xdr:col>
      <xdr:colOff>719666</xdr:colOff>
      <xdr:row>10</xdr:row>
      <xdr:rowOff>186266</xdr:rowOff>
    </xdr:from>
    <xdr:to>
      <xdr:col>7</xdr:col>
      <xdr:colOff>821267</xdr:colOff>
      <xdr:row>12</xdr:row>
      <xdr:rowOff>148166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EB56F08E-1E04-7F40-8CF7-44DF397FEFBC}"/>
            </a:ext>
          </a:extLst>
        </xdr:cNvPr>
        <xdr:cNvSpPr txBox="1"/>
      </xdr:nvSpPr>
      <xdr:spPr>
        <a:xfrm>
          <a:off x="5698066" y="2218266"/>
          <a:ext cx="931334" cy="36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w8</a:t>
          </a:r>
          <a:r>
            <a:rPr lang="en-GB" sz="1100" baseline="0"/>
            <a:t> </a:t>
          </a:r>
          <a:r>
            <a:rPr lang="en-GB" sz="1100"/>
            <a:t>=  -0.9		</a:t>
          </a:r>
        </a:p>
      </xdr:txBody>
    </xdr:sp>
    <xdr:clientData/>
  </xdr:twoCellAnchor>
  <xdr:twoCellAnchor>
    <xdr:from>
      <xdr:col>10</xdr:col>
      <xdr:colOff>76200</xdr:colOff>
      <xdr:row>3</xdr:row>
      <xdr:rowOff>182033</xdr:rowOff>
    </xdr:from>
    <xdr:to>
      <xdr:col>11</xdr:col>
      <xdr:colOff>177800</xdr:colOff>
      <xdr:row>5</xdr:row>
      <xdr:rowOff>143933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A48851C3-9E1A-A14F-A316-6D826906099A}"/>
            </a:ext>
          </a:extLst>
        </xdr:cNvPr>
        <xdr:cNvSpPr txBox="1"/>
      </xdr:nvSpPr>
      <xdr:spPr>
        <a:xfrm>
          <a:off x="8373533" y="791633"/>
          <a:ext cx="931334" cy="36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E1	</a:t>
          </a:r>
        </a:p>
      </xdr:txBody>
    </xdr:sp>
    <xdr:clientData/>
  </xdr:twoCellAnchor>
  <xdr:twoCellAnchor>
    <xdr:from>
      <xdr:col>10</xdr:col>
      <xdr:colOff>228600</xdr:colOff>
      <xdr:row>9</xdr:row>
      <xdr:rowOff>182033</xdr:rowOff>
    </xdr:from>
    <xdr:to>
      <xdr:col>11</xdr:col>
      <xdr:colOff>330200</xdr:colOff>
      <xdr:row>11</xdr:row>
      <xdr:rowOff>143933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65BD59D-1CB7-324F-B351-FF36D0308812}"/>
            </a:ext>
          </a:extLst>
        </xdr:cNvPr>
        <xdr:cNvSpPr txBox="1"/>
      </xdr:nvSpPr>
      <xdr:spPr>
        <a:xfrm>
          <a:off x="8525933" y="2010833"/>
          <a:ext cx="931334" cy="36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E2	</a:t>
          </a:r>
        </a:p>
      </xdr:txBody>
    </xdr:sp>
    <xdr:clientData/>
  </xdr:twoCellAnchor>
  <xdr:twoCellAnchor>
    <xdr:from>
      <xdr:col>8</xdr:col>
      <xdr:colOff>431800</xdr:colOff>
      <xdr:row>154</xdr:row>
      <xdr:rowOff>171450</xdr:rowOff>
    </xdr:from>
    <xdr:to>
      <xdr:col>20</xdr:col>
      <xdr:colOff>444500</xdr:colOff>
      <xdr:row>168</xdr:row>
      <xdr:rowOff>69850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B63CC5B-B4F3-954C-9F45-A8F49FC18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450D1-B75C-1844-ADCE-56ECEEA5FBFC}">
  <dimension ref="A3:AE180"/>
  <sheetViews>
    <sheetView tabSelected="1" zoomScale="130" zoomScaleNormal="130" workbookViewId="0">
      <selection activeCell="K18" sqref="K18"/>
    </sheetView>
  </sheetViews>
  <sheetFormatPr baseColWidth="10" defaultRowHeight="16" x14ac:dyDescent="0.2"/>
  <cols>
    <col min="24" max="24" width="16.5" bestFit="1" customWidth="1"/>
    <col min="26" max="26" width="12.83203125" bestFit="1" customWidth="1"/>
  </cols>
  <sheetData>
    <row r="3" spans="15:19" x14ac:dyDescent="0.2">
      <c r="O3" t="s">
        <v>0</v>
      </c>
      <c r="S3" t="s">
        <v>34</v>
      </c>
    </row>
    <row r="4" spans="15:19" x14ac:dyDescent="0.2">
      <c r="O4" t="s">
        <v>1</v>
      </c>
      <c r="S4" t="s">
        <v>35</v>
      </c>
    </row>
    <row r="5" spans="15:19" x14ac:dyDescent="0.2">
      <c r="O5" t="s">
        <v>2</v>
      </c>
      <c r="S5" t="s">
        <v>36</v>
      </c>
    </row>
    <row r="6" spans="15:19" x14ac:dyDescent="0.2">
      <c r="O6" t="s">
        <v>3</v>
      </c>
      <c r="S6" t="s">
        <v>37</v>
      </c>
    </row>
    <row r="7" spans="15:19" x14ac:dyDescent="0.2">
      <c r="O7" t="s">
        <v>4</v>
      </c>
      <c r="S7" t="s">
        <v>38</v>
      </c>
    </row>
    <row r="8" spans="15:19" x14ac:dyDescent="0.2">
      <c r="O8" t="s">
        <v>5</v>
      </c>
      <c r="S8" t="s">
        <v>39</v>
      </c>
    </row>
    <row r="9" spans="15:19" x14ac:dyDescent="0.2">
      <c r="O9" t="s">
        <v>6</v>
      </c>
    </row>
    <row r="10" spans="15:19" x14ac:dyDescent="0.2">
      <c r="O10" t="s">
        <v>7</v>
      </c>
      <c r="S10" t="s">
        <v>52</v>
      </c>
    </row>
    <row r="11" spans="15:19" x14ac:dyDescent="0.2">
      <c r="O11" t="s">
        <v>8</v>
      </c>
      <c r="S11" t="s">
        <v>53</v>
      </c>
    </row>
    <row r="12" spans="15:19" x14ac:dyDescent="0.2">
      <c r="O12" t="s">
        <v>9</v>
      </c>
      <c r="S12" t="s">
        <v>54</v>
      </c>
    </row>
    <row r="13" spans="15:19" x14ac:dyDescent="0.2">
      <c r="O13" t="s">
        <v>10</v>
      </c>
      <c r="S13" t="s">
        <v>55</v>
      </c>
    </row>
    <row r="16" spans="15:19" x14ac:dyDescent="0.2">
      <c r="O16" t="s">
        <v>44</v>
      </c>
    </row>
    <row r="17" spans="1:23" x14ac:dyDescent="0.2">
      <c r="F17" t="s">
        <v>42</v>
      </c>
      <c r="O17" t="s">
        <v>45</v>
      </c>
    </row>
    <row r="18" spans="1:23" x14ac:dyDescent="0.2">
      <c r="F18" t="s">
        <v>41</v>
      </c>
      <c r="O18" t="s">
        <v>46</v>
      </c>
    </row>
    <row r="19" spans="1:23" x14ac:dyDescent="0.2">
      <c r="F19" t="s">
        <v>40</v>
      </c>
      <c r="O19" t="s">
        <v>47</v>
      </c>
    </row>
    <row r="20" spans="1:23" x14ac:dyDescent="0.2">
      <c r="F20" t="s">
        <v>43</v>
      </c>
    </row>
    <row r="22" spans="1:23" x14ac:dyDescent="0.2">
      <c r="F22" t="s">
        <v>48</v>
      </c>
    </row>
    <row r="23" spans="1:23" x14ac:dyDescent="0.2">
      <c r="F23" t="s">
        <v>49</v>
      </c>
    </row>
    <row r="24" spans="1:23" x14ac:dyDescent="0.2">
      <c r="F24" t="s">
        <v>50</v>
      </c>
    </row>
    <row r="25" spans="1:23" x14ac:dyDescent="0.2">
      <c r="F25" t="s">
        <v>51</v>
      </c>
    </row>
    <row r="28" spans="1:23" x14ac:dyDescent="0.2">
      <c r="A28" t="s">
        <v>11</v>
      </c>
      <c r="B28" t="s">
        <v>12</v>
      </c>
      <c r="C28" t="s">
        <v>13</v>
      </c>
      <c r="D28" t="s">
        <v>14</v>
      </c>
      <c r="E28" t="s">
        <v>15</v>
      </c>
      <c r="F28" t="s">
        <v>16</v>
      </c>
      <c r="G28" t="s">
        <v>17</v>
      </c>
      <c r="H28" t="s">
        <v>18</v>
      </c>
      <c r="I28" t="s">
        <v>19</v>
      </c>
      <c r="J28" t="s">
        <v>20</v>
      </c>
      <c r="K28" t="s">
        <v>21</v>
      </c>
      <c r="L28" t="s">
        <v>22</v>
      </c>
      <c r="M28" t="s">
        <v>23</v>
      </c>
      <c r="N28" t="s">
        <v>24</v>
      </c>
      <c r="O28" t="s">
        <v>25</v>
      </c>
      <c r="P28" t="s">
        <v>26</v>
      </c>
      <c r="Q28" t="s">
        <v>27</v>
      </c>
      <c r="R28" t="s">
        <v>29</v>
      </c>
      <c r="S28" t="s">
        <v>28</v>
      </c>
      <c r="T28" t="s">
        <v>30</v>
      </c>
      <c r="U28" t="s">
        <v>31</v>
      </c>
      <c r="V28" t="s">
        <v>32</v>
      </c>
      <c r="W28" t="s">
        <v>33</v>
      </c>
    </row>
    <row r="29" spans="1:23" x14ac:dyDescent="0.2">
      <c r="A29">
        <v>0.01</v>
      </c>
      <c r="B29">
        <v>0.99</v>
      </c>
      <c r="C29">
        <v>0.05</v>
      </c>
      <c r="D29">
        <v>0.1</v>
      </c>
      <c r="E29">
        <v>0.3</v>
      </c>
      <c r="F29">
        <v>0.5</v>
      </c>
      <c r="G29">
        <v>-0.2</v>
      </c>
      <c r="H29">
        <v>0.7</v>
      </c>
      <c r="I29">
        <f>E29*C29+F29*D29</f>
        <v>6.5000000000000002E-2</v>
      </c>
      <c r="J29">
        <f>1/(1+EXP(-I29))</f>
        <v>0.51624428106207243</v>
      </c>
      <c r="K29">
        <f>G29*C29+H29*D29</f>
        <v>5.9999999999999991E-2</v>
      </c>
      <c r="L29">
        <f>1/(1+EXP(-K29))</f>
        <v>0.51499550161940999</v>
      </c>
      <c r="M29">
        <v>0.1</v>
      </c>
      <c r="N29">
        <v>-0.6</v>
      </c>
      <c r="O29">
        <v>0.3</v>
      </c>
      <c r="P29">
        <v>-0.9</v>
      </c>
      <c r="Q29">
        <f>M29*J29+N29*L29</f>
        <v>-0.2573728728654387</v>
      </c>
      <c r="R29">
        <f>1/(1+EXP(-Q29))</f>
        <v>0.43600962354687733</v>
      </c>
      <c r="S29">
        <f>O29*J29+P29*L29</f>
        <v>-0.30862266713884734</v>
      </c>
      <c r="T29">
        <f>1/(1+EXP(-S29))</f>
        <v>0.42345096574788105</v>
      </c>
      <c r="U29">
        <f>1/2*(A29-R29)^2</f>
        <v>9.0742099677276061E-2</v>
      </c>
      <c r="V29">
        <f>1/2*(B29-T29)^2</f>
        <v>0.1604889041060043</v>
      </c>
      <c r="W29">
        <f>SUM(U29:V29)</f>
        <v>0.25123100378328034</v>
      </c>
    </row>
    <row r="33" spans="1:31" x14ac:dyDescent="0.2">
      <c r="E33" t="s">
        <v>64</v>
      </c>
      <c r="F33">
        <v>0.1</v>
      </c>
    </row>
    <row r="34" spans="1:31" x14ac:dyDescent="0.2">
      <c r="A34" s="4" t="s">
        <v>11</v>
      </c>
      <c r="B34" s="4" t="s">
        <v>12</v>
      </c>
      <c r="C34" s="4" t="s">
        <v>13</v>
      </c>
      <c r="D34" s="4" t="s">
        <v>14</v>
      </c>
      <c r="E34" s="4" t="s">
        <v>15</v>
      </c>
      <c r="F34" s="4" t="s">
        <v>16</v>
      </c>
      <c r="G34" s="4" t="s">
        <v>17</v>
      </c>
      <c r="H34" s="4" t="s">
        <v>18</v>
      </c>
      <c r="I34" s="4" t="s">
        <v>19</v>
      </c>
      <c r="J34" s="4" t="s">
        <v>20</v>
      </c>
      <c r="K34" s="4" t="s">
        <v>21</v>
      </c>
      <c r="L34" s="4" t="s">
        <v>22</v>
      </c>
      <c r="M34" s="4" t="s">
        <v>23</v>
      </c>
      <c r="N34" s="4" t="s">
        <v>24</v>
      </c>
      <c r="O34" s="4" t="s">
        <v>25</v>
      </c>
      <c r="P34" s="4" t="s">
        <v>26</v>
      </c>
      <c r="Q34" s="4" t="s">
        <v>27</v>
      </c>
      <c r="R34" s="4" t="s">
        <v>29</v>
      </c>
      <c r="S34" s="4" t="s">
        <v>28</v>
      </c>
      <c r="T34" s="4" t="s">
        <v>30</v>
      </c>
      <c r="U34" s="4" t="s">
        <v>31</v>
      </c>
      <c r="V34" s="4" t="s">
        <v>32</v>
      </c>
      <c r="W34" s="4" t="s">
        <v>33</v>
      </c>
      <c r="X34" s="4" t="s">
        <v>57</v>
      </c>
      <c r="Y34" s="4" t="s">
        <v>56</v>
      </c>
      <c r="Z34" s="4" t="s">
        <v>58</v>
      </c>
      <c r="AA34" s="4" t="s">
        <v>59</v>
      </c>
      <c r="AB34" s="4" t="s">
        <v>60</v>
      </c>
      <c r="AC34" s="4" t="s">
        <v>61</v>
      </c>
      <c r="AD34" s="4" t="s">
        <v>62</v>
      </c>
      <c r="AE34" s="4" t="s">
        <v>63</v>
      </c>
    </row>
    <row r="35" spans="1:31" x14ac:dyDescent="0.2">
      <c r="A35">
        <v>0.01</v>
      </c>
      <c r="B35">
        <v>0.99</v>
      </c>
      <c r="C35">
        <v>0.05</v>
      </c>
      <c r="D35">
        <v>0.1</v>
      </c>
      <c r="E35">
        <v>0.3</v>
      </c>
      <c r="F35">
        <v>0.5</v>
      </c>
      <c r="G35">
        <v>-0.2</v>
      </c>
      <c r="H35">
        <v>0.7</v>
      </c>
      <c r="I35">
        <f>E35*C35+F35*D35</f>
        <v>6.5000000000000002E-2</v>
      </c>
      <c r="J35">
        <f>1/(1+EXP(-I35))</f>
        <v>0.51624428106207243</v>
      </c>
      <c r="K35">
        <f>G35*C35+H35*D35</f>
        <v>5.9999999999999991E-2</v>
      </c>
      <c r="L35">
        <f>1/(1+EXP(-K35))</f>
        <v>0.51499550161940999</v>
      </c>
      <c r="M35">
        <v>0.1</v>
      </c>
      <c r="N35">
        <v>-0.6</v>
      </c>
      <c r="O35">
        <v>0.3</v>
      </c>
      <c r="P35">
        <v>-0.9</v>
      </c>
      <c r="Q35">
        <f>M35*J35+N35*L35</f>
        <v>-0.2573728728654387</v>
      </c>
      <c r="R35">
        <f>1/(1+EXP(-Q35))</f>
        <v>0.43600962354687733</v>
      </c>
      <c r="S35">
        <f>O35*J35+P35*L35</f>
        <v>-0.30862266713884734</v>
      </c>
      <c r="T35">
        <f>1/(1+EXP(-S35))</f>
        <v>0.42345096574788105</v>
      </c>
      <c r="U35">
        <f>1/2*(A35-R35)^2</f>
        <v>9.0742099677276061E-2</v>
      </c>
      <c r="V35">
        <f>1/2*(B35-T35)^2</f>
        <v>0.1604889041060043</v>
      </c>
      <c r="W35" s="3">
        <f>SUM(U35:V35)</f>
        <v>0.25123100378328034</v>
      </c>
      <c r="X35" s="2">
        <f>((R35-A35)*R35*(1-R35)*M35+(T35-B35)*T35*(1-T35)*O35)*J35*(1-J35)*C35</f>
        <v>-3.8733356671781695E-4</v>
      </c>
      <c r="Y35">
        <f>((R35-A35)*R35*(1-R35)*M35+(T35-B35)*T35*(1-T35)*O35)*J35*(1-J35)*D35</f>
        <v>-7.746671334356339E-4</v>
      </c>
      <c r="Z35">
        <f>((R35-A35)*R35*(1-R35)*N35+(T35-B35)*T35*(1-T35)*P35)*L35*(1-L35)*C35</f>
        <v>7.696930819952396E-4</v>
      </c>
      <c r="AA35">
        <f>((R35-A35)*R35*(1-R35)*N35+(T35-B35)*T35*(1-T35)*P35)*L35*(1-L35)*D35</f>
        <v>1.5393861639904792E-3</v>
      </c>
      <c r="AB35" s="1">
        <f>(R35-A35)*R35*(1-R35)*J35</f>
        <v>5.4080715914345899E-2</v>
      </c>
      <c r="AC35" s="1">
        <f>(R35-A35)*R35*(1-R35)*L35</f>
        <v>5.3949896283493309E-2</v>
      </c>
      <c r="AD35" s="1">
        <f>(T35-B35)*T35*(1-T35)*J35</f>
        <v>-7.1405577163958775E-2</v>
      </c>
      <c r="AE35" s="1">
        <f>(T35-B35)*T35*(1-T35)*L35</f>
        <v>-7.1232849213015953E-2</v>
      </c>
    </row>
    <row r="36" spans="1:31" x14ac:dyDescent="0.2">
      <c r="A36">
        <v>0.01</v>
      </c>
      <c r="B36">
        <v>0.99</v>
      </c>
      <c r="C36">
        <v>0.05</v>
      </c>
      <c r="D36">
        <v>0.1</v>
      </c>
      <c r="E36" s="2">
        <f>E35-$F$33*X35</f>
        <v>0.30003873335667175</v>
      </c>
      <c r="F36">
        <f>F35-$F$33*Y35</f>
        <v>0.50007746671334352</v>
      </c>
      <c r="G36">
        <f>G35-$F$33*Z35</f>
        <v>-0.20007696930819954</v>
      </c>
      <c r="H36">
        <f>H35-$F$33*AA35</f>
        <v>0.69984606138360095</v>
      </c>
      <c r="I36">
        <f>E36*C36+F36*D36</f>
        <v>6.5009683339167942E-2</v>
      </c>
      <c r="J36">
        <f>1/(1+EXP(-I36))</f>
        <v>0.51624669934127676</v>
      </c>
      <c r="K36">
        <f>G36*C36+H36*D36</f>
        <v>5.9980757672950115E-2</v>
      </c>
      <c r="L36">
        <f>1/(1+EXP(-K36))</f>
        <v>0.51499069536318809</v>
      </c>
      <c r="M36">
        <f>M35-$F$33*AB35</f>
        <v>9.4591928408565409E-2</v>
      </c>
      <c r="N36">
        <f>N35-$F$33*AC35</f>
        <v>-0.60539498962834926</v>
      </c>
      <c r="O36">
        <f>O35-$F$33*AD35</f>
        <v>0.30714055771639587</v>
      </c>
      <c r="P36">
        <f>P35-$F$33*AE35</f>
        <v>-0.89287671507869848</v>
      </c>
      <c r="Q36">
        <f>M36*J36+N36*L36</f>
        <v>-0.26294001585284538</v>
      </c>
      <c r="R36">
        <f>1/(1+EXP(-Q36))</f>
        <v>0.43464112501384061</v>
      </c>
      <c r="S36">
        <f>O36*J36+P36*L36</f>
        <v>-0.30126290121704979</v>
      </c>
      <c r="T36">
        <f>1/(1+EXP(-S36))</f>
        <v>0.42524878555177698</v>
      </c>
      <c r="U36">
        <f>1/2*(A36-R36)^2</f>
        <v>9.0160042526510095E-2</v>
      </c>
      <c r="V36">
        <f>1/2*(B36-T36)^2</f>
        <v>0.15947196711037137</v>
      </c>
      <c r="W36" s="3">
        <f>SUM(U36:V36)</f>
        <v>0.24963200963688148</v>
      </c>
      <c r="X36" s="2">
        <f>((R36-A36)*R36*(1-R36)*M36+(T36-B36)*T36*(1-T36)*O36)*J36*(1-J36)*C36</f>
        <v>-4.0613253658933527E-4</v>
      </c>
      <c r="Y36">
        <f>((R36-A36)*R36*(1-R36)*M36+(T36-B36)*T36*(1-T36)*O36)*J36*(1-J36)*D36</f>
        <v>-8.1226507317867054E-4</v>
      </c>
      <c r="Z36">
        <f>((R36-A36)*R36*(1-R36)*N36+(T36-B36)*T36*(1-T36)*P36)*L36*(1-L36)*C36</f>
        <v>7.5026165963814435E-4</v>
      </c>
      <c r="AA36">
        <f>((R36-A36)*R36*(1-R36)*N36+(T36-B36)*T36*(1-T36)*P36)*L36*(1-L36)*D36</f>
        <v>1.5005233192762887E-3</v>
      </c>
      <c r="AB36" s="1">
        <f>(R36-A36)*R36*(1-R36)*J36</f>
        <v>5.3868436427536942E-2</v>
      </c>
      <c r="AC36" s="1">
        <f>(R36-A36)*R36*(1-R36)*L36</f>
        <v>5.3737377051210206E-2</v>
      </c>
      <c r="AD36" s="1">
        <f>(T36-B36)*T36*(1-T36)*J36</f>
        <v>-7.1258625510206494E-2</v>
      </c>
      <c r="AE36" s="1">
        <f>(T36-B36)*T36*(1-T36)*L36</f>
        <v>-7.1085256620433149E-2</v>
      </c>
    </row>
    <row r="37" spans="1:31" x14ac:dyDescent="0.2">
      <c r="A37">
        <v>0.01</v>
      </c>
      <c r="B37">
        <v>0.99</v>
      </c>
      <c r="C37">
        <v>0.05</v>
      </c>
      <c r="D37">
        <v>0.1</v>
      </c>
      <c r="E37" s="2">
        <f t="shared" ref="E37:E41" si="0">E36-$F$33*X36</f>
        <v>0.3000793466103307</v>
      </c>
      <c r="F37">
        <f t="shared" ref="F37:F41" si="1">F36-$F$33*Y36</f>
        <v>0.50015869322066142</v>
      </c>
      <c r="G37">
        <f t="shared" ref="G37:G41" si="2">G36-$F$33*Z36</f>
        <v>-0.20015199547416335</v>
      </c>
      <c r="H37">
        <f t="shared" ref="H37:H41" si="3">H36-$F$33*AA36</f>
        <v>0.69969600905167328</v>
      </c>
      <c r="I37">
        <f t="shared" ref="I37:I41" si="4">E37*C37+F37*D37</f>
        <v>6.501983665258268E-2</v>
      </c>
      <c r="J37">
        <f t="shared" ref="J37:J100" si="5">1/(1+EXP(-I37))</f>
        <v>0.51624923498919195</v>
      </c>
      <c r="K37">
        <f t="shared" ref="K37:K41" si="6">G37*C37+H37*D37</f>
        <v>5.9962001131459171E-2</v>
      </c>
      <c r="L37">
        <f t="shared" ref="L37:L100" si="7">1/(1+EXP(-K37))</f>
        <v>0.51498601044148606</v>
      </c>
      <c r="M37">
        <f t="shared" ref="M37:M41" si="8">M36-$F$33*AB36</f>
        <v>8.920508476581171E-2</v>
      </c>
      <c r="N37">
        <f t="shared" ref="N37:N41" si="9">N36-$F$33*AC36</f>
        <v>-0.61076872733347032</v>
      </c>
      <c r="O37">
        <f t="shared" ref="O37:O41" si="10">O36-$F$33*AD36</f>
        <v>0.31426642026741652</v>
      </c>
      <c r="P37">
        <f t="shared" ref="P37:P41" si="11">P36-$F$33*AE36</f>
        <v>-0.88576818941665514</v>
      </c>
      <c r="Q37">
        <f t="shared" ref="Q37:Q41" si="12">M37*J37+N37*L37</f>
        <v>-0.26848529342439142</v>
      </c>
      <c r="R37">
        <f t="shared" ref="R37:R100" si="13">1/(1+EXP(-Q37))</f>
        <v>0.43327899101379203</v>
      </c>
      <c r="S37">
        <f t="shared" ref="S37:S41" si="14">O37*J37+P37*L37</f>
        <v>-0.29391842699781612</v>
      </c>
      <c r="T37">
        <f t="shared" ref="T37:T100" si="15">1/(1+EXP(-S37))</f>
        <v>0.42704484304150631</v>
      </c>
      <c r="U37">
        <f t="shared" ref="U37:U41" si="16">1/2*(A37-R37)^2</f>
        <v>8.9582552116826905E-2</v>
      </c>
      <c r="V37">
        <f t="shared" ref="V37:V41" si="17">1/2*(B37-T37)^2</f>
        <v>0.15845925437308109</v>
      </c>
      <c r="W37" s="3">
        <f t="shared" ref="W37:W41" si="18">SUM(U37:V37)</f>
        <v>0.24804180648990798</v>
      </c>
      <c r="X37" s="2">
        <f t="shared" ref="X37:X41" si="19">((R37-A37)*R37*(1-R37)*M37+(T37-B37)*T37*(1-T37)*O37)*J37*(1-J37)*C37</f>
        <v>-4.2475427408460381E-4</v>
      </c>
      <c r="Y37">
        <f t="shared" ref="Y37:Y41" si="20">((R37-A37)*R37*(1-R37)*M37+(T37-B37)*T37*(1-T37)*O37)*J37*(1-J37)*D37</f>
        <v>-8.4950854816920763E-4</v>
      </c>
      <c r="Z37">
        <f t="shared" ref="Z37:Z41" si="21">((R37-A37)*R37*(1-R37)*N37+(T37-B37)*T37*(1-T37)*P37)*L37*(1-L37)*C37</f>
        <v>7.3093524520730048E-4</v>
      </c>
      <c r="AA37">
        <f t="shared" ref="AA37:AA41" si="22">((R37-A37)*R37*(1-R37)*N37+(T37-B37)*T37*(1-T37)*P37)*L37*(1-L37)*D37</f>
        <v>1.461870490414601E-3</v>
      </c>
      <c r="AB37" s="1">
        <f t="shared" ref="AB37:AB41" si="23">(R37-A37)*R37*(1-R37)*J37</f>
        <v>5.3656591189568691E-2</v>
      </c>
      <c r="AC37" s="1">
        <f t="shared" ref="AC37:AC41" si="24">(R37-A37)*R37*(1-R37)*L37</f>
        <v>5.3525297390870273E-2</v>
      </c>
      <c r="AD37" s="1">
        <f t="shared" ref="AD37:AD41" si="25">(T37-B37)*T37*(1-T37)*J37</f>
        <v>-7.1109452915051732E-2</v>
      </c>
      <c r="AE37" s="1">
        <f t="shared" ref="AE37:AE41" si="26">(T37-B37)*T37*(1-T37)*L37</f>
        <v>-7.0935453225738659E-2</v>
      </c>
    </row>
    <row r="38" spans="1:31" x14ac:dyDescent="0.2">
      <c r="A38">
        <v>0.01</v>
      </c>
      <c r="B38">
        <v>0.99</v>
      </c>
      <c r="C38">
        <v>0.05</v>
      </c>
      <c r="D38">
        <v>0.1</v>
      </c>
      <c r="E38" s="2">
        <f t="shared" si="0"/>
        <v>0.30012182203773918</v>
      </c>
      <c r="F38">
        <f t="shared" si="1"/>
        <v>0.50024364407547839</v>
      </c>
      <c r="G38">
        <f t="shared" si="2"/>
        <v>-0.20022508899868408</v>
      </c>
      <c r="H38">
        <f t="shared" si="3"/>
        <v>0.69954982200263183</v>
      </c>
      <c r="I38">
        <f t="shared" si="4"/>
        <v>6.5030455509434801E-2</v>
      </c>
      <c r="J38">
        <f t="shared" si="5"/>
        <v>0.51625188689916945</v>
      </c>
      <c r="K38">
        <f t="shared" si="6"/>
        <v>5.9943727750328975E-2</v>
      </c>
      <c r="L38">
        <f t="shared" si="7"/>
        <v>0.51498144619879893</v>
      </c>
      <c r="M38">
        <f t="shared" si="8"/>
        <v>8.3839425646854843E-2</v>
      </c>
      <c r="N38">
        <f t="shared" si="9"/>
        <v>-0.61612125707255738</v>
      </c>
      <c r="O38">
        <f t="shared" si="10"/>
        <v>0.32137736555892171</v>
      </c>
      <c r="P38">
        <f t="shared" si="11"/>
        <v>-0.87867464409408125</v>
      </c>
      <c r="Q38">
        <f t="shared" si="12"/>
        <v>-0.27400875431431615</v>
      </c>
      <c r="R38">
        <f t="shared" si="13"/>
        <v>0.43192321763496949</v>
      </c>
      <c r="S38">
        <f t="shared" si="14"/>
        <v>-0.28658946757730741</v>
      </c>
      <c r="T38">
        <f t="shared" si="15"/>
        <v>0.42883902613293157</v>
      </c>
      <c r="U38">
        <f t="shared" si="16"/>
        <v>8.9009600789722906E-2</v>
      </c>
      <c r="V38">
        <f t="shared" si="17"/>
        <v>0.15745081929571833</v>
      </c>
      <c r="W38" s="3">
        <f t="shared" si="18"/>
        <v>0.24646042008544122</v>
      </c>
      <c r="X38" s="2">
        <f t="shared" si="19"/>
        <v>-4.4319818687247752E-4</v>
      </c>
      <c r="Y38">
        <f t="shared" si="20"/>
        <v>-8.8639637374495503E-4</v>
      </c>
      <c r="Z38">
        <f t="shared" si="21"/>
        <v>7.1171517158816482E-4</v>
      </c>
      <c r="AA38">
        <f t="shared" si="22"/>
        <v>1.4234303431763296E-3</v>
      </c>
      <c r="AB38" s="1">
        <f t="shared" si="23"/>
        <v>5.3445195002559925E-2</v>
      </c>
      <c r="AC38" s="1">
        <f t="shared" si="24"/>
        <v>5.3313672091567149E-2</v>
      </c>
      <c r="AD38" s="1">
        <f t="shared" si="25"/>
        <v>-7.0958093565666305E-2</v>
      </c>
      <c r="AE38" s="1">
        <f t="shared" si="26"/>
        <v>-7.0783473283640819E-2</v>
      </c>
    </row>
    <row r="39" spans="1:31" x14ac:dyDescent="0.2">
      <c r="A39">
        <v>0.01</v>
      </c>
      <c r="B39">
        <v>0.99</v>
      </c>
      <c r="C39">
        <v>0.05</v>
      </c>
      <c r="D39">
        <v>0.1</v>
      </c>
      <c r="E39" s="2">
        <f t="shared" si="0"/>
        <v>0.30016614185642643</v>
      </c>
      <c r="F39">
        <f t="shared" si="1"/>
        <v>0.50033228371285288</v>
      </c>
      <c r="G39">
        <f t="shared" si="2"/>
        <v>-0.2002962605158429</v>
      </c>
      <c r="H39">
        <f t="shared" si="3"/>
        <v>0.69940747896831423</v>
      </c>
      <c r="I39">
        <f t="shared" si="4"/>
        <v>6.5041535464106612E-2</v>
      </c>
      <c r="J39">
        <f t="shared" si="5"/>
        <v>0.51625465396085901</v>
      </c>
      <c r="K39">
        <f t="shared" si="6"/>
        <v>5.9925934871039283E-2</v>
      </c>
      <c r="L39">
        <f t="shared" si="7"/>
        <v>0.51497700197129215</v>
      </c>
      <c r="M39">
        <f t="shared" si="8"/>
        <v>7.8494906146598847E-2</v>
      </c>
      <c r="N39">
        <f t="shared" si="9"/>
        <v>-0.62145262428171411</v>
      </c>
      <c r="O39">
        <f t="shared" si="10"/>
        <v>0.32847317491548833</v>
      </c>
      <c r="P39">
        <f t="shared" si="11"/>
        <v>-0.87159629676571715</v>
      </c>
      <c r="Q39">
        <f t="shared" si="12"/>
        <v>-0.27951044870938646</v>
      </c>
      <c r="R39">
        <f t="shared" si="13"/>
        <v>0.43057380016582425</v>
      </c>
      <c r="S39">
        <f t="shared" si="14"/>
        <v>-0.27927624258626954</v>
      </c>
      <c r="T39">
        <f t="shared" si="15"/>
        <v>0.43063122375718782</v>
      </c>
      <c r="U39">
        <f t="shared" si="16"/>
        <v>8.8441160692961332E-2</v>
      </c>
      <c r="V39">
        <f t="shared" si="17"/>
        <v>0.15644671391769061</v>
      </c>
      <c r="W39" s="3">
        <f t="shared" si="18"/>
        <v>0.24488787461065192</v>
      </c>
      <c r="X39" s="2">
        <f t="shared" si="19"/>
        <v>-4.6146373150705009E-4</v>
      </c>
      <c r="Y39">
        <f t="shared" si="20"/>
        <v>-9.2292746301410019E-4</v>
      </c>
      <c r="Z39">
        <f t="shared" si="21"/>
        <v>6.9260274047121945E-4</v>
      </c>
      <c r="AA39">
        <f t="shared" si="22"/>
        <v>1.3852054809424389E-3</v>
      </c>
      <c r="AB39" s="1">
        <f t="shared" si="23"/>
        <v>5.3234262284616231E-2</v>
      </c>
      <c r="AC39" s="1">
        <f t="shared" si="24"/>
        <v>5.3102515557300105E-2</v>
      </c>
      <c r="AD39" s="1">
        <f t="shared" si="25"/>
        <v>-7.0804582028970262E-2</v>
      </c>
      <c r="AE39" s="1">
        <f t="shared" si="26"/>
        <v>-7.0629351424450371E-2</v>
      </c>
    </row>
    <row r="40" spans="1:31" x14ac:dyDescent="0.2">
      <c r="A40">
        <v>0.01</v>
      </c>
      <c r="B40">
        <v>0.99</v>
      </c>
      <c r="C40">
        <v>0.05</v>
      </c>
      <c r="D40">
        <v>0.1</v>
      </c>
      <c r="E40" s="2">
        <f t="shared" si="0"/>
        <v>0.30021228822957713</v>
      </c>
      <c r="F40">
        <f t="shared" si="1"/>
        <v>0.50042457645915428</v>
      </c>
      <c r="G40">
        <f t="shared" si="2"/>
        <v>-0.20036552078989003</v>
      </c>
      <c r="H40">
        <f t="shared" si="3"/>
        <v>0.69926895842021997</v>
      </c>
      <c r="I40">
        <f t="shared" si="4"/>
        <v>6.5053072057394287E-2</v>
      </c>
      <c r="J40">
        <f t="shared" si="5"/>
        <v>0.51625753506051375</v>
      </c>
      <c r="K40">
        <f t="shared" si="6"/>
        <v>5.9908619802527492E-2</v>
      </c>
      <c r="L40">
        <f t="shared" si="7"/>
        <v>0.5149726770869959</v>
      </c>
      <c r="M40">
        <f t="shared" si="8"/>
        <v>7.3171479918137217E-2</v>
      </c>
      <c r="N40">
        <f t="shared" si="9"/>
        <v>-0.62676287583744417</v>
      </c>
      <c r="O40">
        <f t="shared" si="10"/>
        <v>0.33555363311838537</v>
      </c>
      <c r="P40">
        <f t="shared" si="11"/>
        <v>-0.8645333616232721</v>
      </c>
      <c r="Q40">
        <f t="shared" si="12"/>
        <v>-0.28499042820948561</v>
      </c>
      <c r="R40">
        <f t="shared" si="13"/>
        <v>0.42923073311325394</v>
      </c>
      <c r="S40">
        <f t="shared" si="14"/>
        <v>-0.27197896815185874</v>
      </c>
      <c r="T40">
        <f t="shared" si="15"/>
        <v>0.43242132589479343</v>
      </c>
      <c r="U40">
        <f t="shared" si="16"/>
        <v>8.7877203793338174E-2</v>
      </c>
      <c r="V40">
        <f t="shared" si="17"/>
        <v>0.15544698890846007</v>
      </c>
      <c r="W40" s="3">
        <f t="shared" si="18"/>
        <v>0.24332419270179823</v>
      </c>
      <c r="X40" s="2">
        <f t="shared" si="19"/>
        <v>-4.7955041315258823E-4</v>
      </c>
      <c r="Y40">
        <f t="shared" si="20"/>
        <v>-9.5910082630517647E-4</v>
      </c>
      <c r="Z40">
        <f t="shared" si="21"/>
        <v>6.7359922192084508E-4</v>
      </c>
      <c r="AA40">
        <f t="shared" si="22"/>
        <v>1.3471984438416902E-3</v>
      </c>
      <c r="AB40" s="1">
        <f t="shared" si="23"/>
        <v>5.3023807074039482E-2</v>
      </c>
      <c r="AC40" s="1">
        <f t="shared" si="24"/>
        <v>5.2891841811203433E-2</v>
      </c>
      <c r="AD40" s="1">
        <f t="shared" si="25"/>
        <v>-7.0648953229851805E-2</v>
      </c>
      <c r="AE40" s="1">
        <f t="shared" si="26"/>
        <v>-7.0473122632304361E-2</v>
      </c>
    </row>
    <row r="41" spans="1:31" x14ac:dyDescent="0.2">
      <c r="A41">
        <v>0.01</v>
      </c>
      <c r="B41">
        <v>0.99</v>
      </c>
      <c r="C41">
        <v>0.05</v>
      </c>
      <c r="D41">
        <v>0.1</v>
      </c>
      <c r="E41" s="2">
        <f t="shared" si="0"/>
        <v>0.3002602432708924</v>
      </c>
      <c r="F41">
        <f t="shared" si="1"/>
        <v>0.50052048654178483</v>
      </c>
      <c r="G41">
        <f t="shared" si="2"/>
        <v>-0.20043288071208212</v>
      </c>
      <c r="H41">
        <f t="shared" si="3"/>
        <v>0.69913423857583579</v>
      </c>
      <c r="I41">
        <f t="shared" si="4"/>
        <v>6.5065060817723105E-2</v>
      </c>
      <c r="J41">
        <f t="shared" si="5"/>
        <v>0.51626052908129372</v>
      </c>
      <c r="K41">
        <f t="shared" si="6"/>
        <v>5.989177982197947E-2</v>
      </c>
      <c r="L41">
        <f t="shared" si="7"/>
        <v>0.51496847086600317</v>
      </c>
      <c r="M41">
        <f t="shared" si="8"/>
        <v>6.7869099210733266E-2</v>
      </c>
      <c r="N41">
        <f t="shared" si="9"/>
        <v>-0.63205206001856451</v>
      </c>
      <c r="O41">
        <f t="shared" si="10"/>
        <v>0.34261852844137053</v>
      </c>
      <c r="P41">
        <f t="shared" si="11"/>
        <v>-0.85748604936004169</v>
      </c>
      <c r="Q41">
        <f t="shared" si="12"/>
        <v>-0.29044874578866348</v>
      </c>
      <c r="R41">
        <f t="shared" si="13"/>
        <v>0.42789401022069734</v>
      </c>
      <c r="S41">
        <f t="shared" si="14"/>
        <v>-0.26469785686167457</v>
      </c>
      <c r="T41">
        <f t="shared" si="15"/>
        <v>0.43420922360874975</v>
      </c>
      <c r="U41">
        <f t="shared" si="16"/>
        <v>8.7317701889168139E-2</v>
      </c>
      <c r="V41">
        <f t="shared" si="17"/>
        <v>0.15445169356079433</v>
      </c>
      <c r="W41" s="3">
        <f t="shared" si="18"/>
        <v>0.24176939544996245</v>
      </c>
      <c r="X41" s="2">
        <f t="shared" si="19"/>
        <v>-4.9745778528106693E-4</v>
      </c>
      <c r="Y41">
        <f t="shared" si="20"/>
        <v>-9.9491557056213386E-4</v>
      </c>
      <c r="Z41">
        <f t="shared" si="21"/>
        <v>6.5470585396960575E-4</v>
      </c>
      <c r="AA41">
        <f t="shared" si="22"/>
        <v>1.3094117079392115E-3</v>
      </c>
      <c r="AB41" s="1">
        <f t="shared" si="23"/>
        <v>5.2813843033624651E-2</v>
      </c>
      <c r="AC41" s="1">
        <f t="shared" si="24"/>
        <v>5.2681664499863619E-2</v>
      </c>
      <c r="AD41" s="1">
        <f t="shared" si="25"/>
        <v>-7.0491242429372644E-2</v>
      </c>
      <c r="AE41" s="1">
        <f t="shared" si="26"/>
        <v>-7.0314822223379009E-2</v>
      </c>
    </row>
    <row r="42" spans="1:31" x14ac:dyDescent="0.2">
      <c r="A42">
        <v>0.01</v>
      </c>
      <c r="B42">
        <v>0.99</v>
      </c>
      <c r="C42">
        <v>0.05</v>
      </c>
      <c r="D42">
        <v>0.1</v>
      </c>
      <c r="E42" s="2">
        <f t="shared" ref="E42:E67" si="27">E41-$F$33*X41</f>
        <v>0.30030998904942052</v>
      </c>
      <c r="F42">
        <f t="shared" ref="F42:F67" si="28">F41-$F$33*Y41</f>
        <v>0.50061997809884107</v>
      </c>
      <c r="G42">
        <f t="shared" ref="G42:G67" si="29">G41-$F$33*Z41</f>
        <v>-0.20049835129747909</v>
      </c>
      <c r="H42">
        <f t="shared" ref="H42:H67" si="30">H41-$F$33*AA41</f>
        <v>0.69900329740504186</v>
      </c>
      <c r="I42">
        <f t="shared" ref="I42:I67" si="31">E42*C42+F42*D42</f>
        <v>6.5077497262355136E-2</v>
      </c>
      <c r="J42">
        <f t="shared" si="5"/>
        <v>0.51626363490356797</v>
      </c>
      <c r="K42">
        <f t="shared" ref="K42:K67" si="32">G42*C42+H42*D42</f>
        <v>5.9875412175630228E-2</v>
      </c>
      <c r="L42">
        <f t="shared" si="7"/>
        <v>0.51496438262066935</v>
      </c>
      <c r="M42">
        <f t="shared" ref="M42:M67" si="33">M41-$F$33*AB41</f>
        <v>6.2587714907370806E-2</v>
      </c>
      <c r="N42">
        <f t="shared" ref="N42:N67" si="34">N41-$F$33*AC41</f>
        <v>-0.63732022646855091</v>
      </c>
      <c r="O42">
        <f t="shared" ref="O42:O67" si="35">O41-$F$33*AD41</f>
        <v>0.34966765268430777</v>
      </c>
      <c r="P42">
        <f t="shared" ref="P42:P67" si="36">P41-$F$33*AE41</f>
        <v>-0.85045456713770384</v>
      </c>
      <c r="Q42">
        <f t="shared" ref="Q42:Q67" si="37">M42*J42+N42*L42</f>
        <v>-0.29588545575665504</v>
      </c>
      <c r="R42">
        <f t="shared" si="13"/>
        <v>0.42656362448608304</v>
      </c>
      <c r="S42">
        <f t="shared" ref="S42:S67" si="38">O42*J42+P42*L42</f>
        <v>-0.25743311772999716</v>
      </c>
      <c r="T42">
        <f t="shared" si="15"/>
        <v>0.43599480907661375</v>
      </c>
      <c r="U42">
        <f t="shared" ref="U42:U67" si="39">1/2*(A42-R42)^2</f>
        <v>8.6762626622491193E-2</v>
      </c>
      <c r="V42">
        <f t="shared" ref="V42:V67" si="40">1/2*(B42-T42)^2</f>
        <v>0.15346087578502884</v>
      </c>
      <c r="W42" s="3">
        <f t="shared" ref="W42:W67" si="41">SUM(U42:V42)</f>
        <v>0.24022350240752005</v>
      </c>
      <c r="X42" s="2">
        <f t="shared" ref="X42:X67" si="42">((R42-A42)*R42*(1-R42)*M42+(T42-B42)*T42*(1-T42)*O42)*J42*(1-J42)*C42</f>
        <v>-5.1518544934276518E-4</v>
      </c>
      <c r="Y42">
        <f t="shared" ref="Y42:Y67" si="43">((R42-A42)*R42*(1-R42)*M42+(T42-B42)*T42*(1-T42)*O42)*J42*(1-J42)*D42</f>
        <v>-1.0303708986855304E-3</v>
      </c>
      <c r="Z42">
        <f t="shared" ref="Z42:Z67" si="44">((R42-A42)*R42*(1-R42)*N42+(T42-B42)*T42*(1-T42)*P42)*L42*(1-L42)*C42</f>
        <v>6.3592384223833207E-4</v>
      </c>
      <c r="AA42">
        <f t="shared" ref="AA42:AA67" si="45">((R42-A42)*R42*(1-R42)*N42+(T42-B42)*T42*(1-T42)*P42)*L42*(1-L42)*D42</f>
        <v>1.2718476844766641E-3</v>
      </c>
      <c r="AB42" s="1">
        <f t="shared" ref="AB42:AB67" si="46">(R42-A42)*R42*(1-R42)*J42</f>
        <v>5.260438345503772E-2</v>
      </c>
      <c r="AC42" s="1">
        <f t="shared" ref="AC42:AC67" si="47">(R42-A42)*R42*(1-R42)*L42</f>
        <v>5.2471996897717643E-2</v>
      </c>
      <c r="AD42" s="1">
        <f t="shared" ref="AD42:AD67" si="48">(T42-B42)*T42*(1-T42)*J42</f>
        <v>-7.0331485202983421E-2</v>
      </c>
      <c r="AE42" s="1">
        <f t="shared" ref="AE42:AE67" si="49">(T42-B42)*T42*(1-T42)*L42</f>
        <v>-7.0154485824116278E-2</v>
      </c>
    </row>
    <row r="43" spans="1:31" x14ac:dyDescent="0.2">
      <c r="A43">
        <v>0.01</v>
      </c>
      <c r="B43">
        <v>0.99</v>
      </c>
      <c r="C43">
        <v>0.05</v>
      </c>
      <c r="D43">
        <v>0.1</v>
      </c>
      <c r="E43" s="2">
        <f t="shared" si="27"/>
        <v>0.30036150759435482</v>
      </c>
      <c r="F43">
        <f t="shared" si="28"/>
        <v>0.50072301518870965</v>
      </c>
      <c r="G43">
        <f t="shared" si="29"/>
        <v>-0.20056194368170291</v>
      </c>
      <c r="H43">
        <f t="shared" si="30"/>
        <v>0.69887611263659422</v>
      </c>
      <c r="I43">
        <f t="shared" si="31"/>
        <v>6.5090376898588709E-2</v>
      </c>
      <c r="J43">
        <f t="shared" si="5"/>
        <v>0.51626685140521378</v>
      </c>
      <c r="K43">
        <f t="shared" si="32"/>
        <v>5.985951407957428E-2</v>
      </c>
      <c r="L43">
        <f t="shared" si="7"/>
        <v>0.51496041165581496</v>
      </c>
      <c r="M43">
        <f t="shared" si="33"/>
        <v>5.7327276561867035E-2</v>
      </c>
      <c r="N43">
        <f t="shared" si="34"/>
        <v>-0.64256742615832263</v>
      </c>
      <c r="O43">
        <f t="shared" si="35"/>
        <v>0.35670080120460612</v>
      </c>
      <c r="P43">
        <f t="shared" si="36"/>
        <v>-0.84343911855529219</v>
      </c>
      <c r="Q43">
        <f t="shared" si="37"/>
        <v>-0.3013006137208763</v>
      </c>
      <c r="R43">
        <f t="shared" si="13"/>
        <v>0.42523956817962505</v>
      </c>
      <c r="S43">
        <f t="shared" si="38"/>
        <v>-0.25018495616623193</v>
      </c>
      <c r="T43">
        <f t="shared" si="15"/>
        <v>0.43777797562152632</v>
      </c>
      <c r="U43">
        <f t="shared" si="39"/>
        <v>8.6211949491000736E-2</v>
      </c>
      <c r="V43">
        <f t="shared" si="40"/>
        <v>0.15247458210432979</v>
      </c>
      <c r="W43" s="3">
        <f t="shared" si="41"/>
        <v>0.23868653159533054</v>
      </c>
      <c r="X43" s="2">
        <f t="shared" si="42"/>
        <v>-5.3273305441041017E-4</v>
      </c>
      <c r="Y43">
        <f t="shared" si="43"/>
        <v>-1.0654661088208203E-3</v>
      </c>
      <c r="Z43">
        <f t="shared" si="44"/>
        <v>6.1725435958231729E-4</v>
      </c>
      <c r="AA43">
        <f t="shared" si="45"/>
        <v>1.2345087191646346E-3</v>
      </c>
      <c r="AB43" s="1">
        <f t="shared" si="46"/>
        <v>5.2395441263267957E-2</v>
      </c>
      <c r="AC43" s="1">
        <f t="shared" si="47"/>
        <v>5.2262851911526104E-2</v>
      </c>
      <c r="AD43" s="1">
        <f t="shared" si="48"/>
        <v>-7.0169717418773425E-2</v>
      </c>
      <c r="AE43" s="1">
        <f t="shared" si="49"/>
        <v>-6.9992149349488234E-2</v>
      </c>
    </row>
    <row r="44" spans="1:31" x14ac:dyDescent="0.2">
      <c r="A44">
        <v>0.01</v>
      </c>
      <c r="B44">
        <v>0.99</v>
      </c>
      <c r="C44">
        <v>0.05</v>
      </c>
      <c r="D44">
        <v>0.1</v>
      </c>
      <c r="E44" s="2">
        <f t="shared" si="27"/>
        <v>0.30041478089979584</v>
      </c>
      <c r="F44">
        <f t="shared" si="28"/>
        <v>0.5008295617995917</v>
      </c>
      <c r="G44">
        <f t="shared" si="29"/>
        <v>-0.20062366911766114</v>
      </c>
      <c r="H44">
        <f t="shared" si="30"/>
        <v>0.69875266176467776</v>
      </c>
      <c r="I44">
        <f t="shared" si="31"/>
        <v>6.5103695224948965E-2</v>
      </c>
      <c r="J44">
        <f t="shared" si="5"/>
        <v>0.51627017746191484</v>
      </c>
      <c r="K44">
        <f t="shared" si="32"/>
        <v>5.9844082720584717E-2</v>
      </c>
      <c r="L44">
        <f t="shared" si="7"/>
        <v>0.51495655726893075</v>
      </c>
      <c r="M44">
        <f t="shared" si="33"/>
        <v>5.208773243554024E-2</v>
      </c>
      <c r="N44">
        <f t="shared" si="34"/>
        <v>-0.64779371134947528</v>
      </c>
      <c r="O44">
        <f t="shared" si="35"/>
        <v>0.36371777294648344</v>
      </c>
      <c r="P44">
        <f t="shared" si="36"/>
        <v>-0.83643990362034337</v>
      </c>
      <c r="Q44">
        <f t="shared" si="37"/>
        <v>-0.30669427654890419</v>
      </c>
      <c r="R44">
        <f t="shared" si="13"/>
        <v>0.42392183286145857</v>
      </c>
      <c r="S44">
        <f t="shared" si="38"/>
        <v>-0.24295357394555481</v>
      </c>
      <c r="T44">
        <f t="shared" si="15"/>
        <v>0.43955861774218169</v>
      </c>
      <c r="U44">
        <f t="shared" si="39"/>
        <v>8.5665641859694622E-2</v>
      </c>
      <c r="V44">
        <f t="shared" si="40"/>
        <v>0.1514928576509488</v>
      </c>
      <c r="W44" s="3">
        <f t="shared" si="41"/>
        <v>0.23715849951064344</v>
      </c>
      <c r="X44" s="2">
        <f t="shared" si="42"/>
        <v>-5.501002967974089E-4</v>
      </c>
      <c r="Y44">
        <f t="shared" si="43"/>
        <v>-1.1002005935948178E-3</v>
      </c>
      <c r="Z44">
        <f t="shared" si="44"/>
        <v>5.9869854576391469E-4</v>
      </c>
      <c r="AA44">
        <f t="shared" si="45"/>
        <v>1.1973970915278294E-3</v>
      </c>
      <c r="AB44" s="1">
        <f t="shared" si="46"/>
        <v>5.2187029021148662E-2</v>
      </c>
      <c r="AC44" s="1">
        <f t="shared" si="47"/>
        <v>5.2054242084914902E-2</v>
      </c>
      <c r="AD44" s="1">
        <f t="shared" si="48"/>
        <v>-7.0005975215779004E-2</v>
      </c>
      <c r="AE44" s="1">
        <f t="shared" si="49"/>
        <v>-6.9827848981323451E-2</v>
      </c>
    </row>
    <row r="45" spans="1:31" x14ac:dyDescent="0.2">
      <c r="A45">
        <v>0.01</v>
      </c>
      <c r="B45">
        <v>0.99</v>
      </c>
      <c r="C45">
        <v>0.05</v>
      </c>
      <c r="D45">
        <v>0.1</v>
      </c>
      <c r="E45" s="2">
        <f t="shared" si="27"/>
        <v>0.30046979092947557</v>
      </c>
      <c r="F45">
        <f t="shared" si="28"/>
        <v>0.50093958185895116</v>
      </c>
      <c r="G45">
        <f t="shared" si="29"/>
        <v>-0.20068353897223754</v>
      </c>
      <c r="H45">
        <f t="shared" si="30"/>
        <v>0.69863292205552496</v>
      </c>
      <c r="I45">
        <f t="shared" si="31"/>
        <v>6.5117447732368897E-2</v>
      </c>
      <c r="J45">
        <f t="shared" si="5"/>
        <v>0.51627361194745569</v>
      </c>
      <c r="K45">
        <f t="shared" si="32"/>
        <v>5.9829115256940624E-2</v>
      </c>
      <c r="L45">
        <f t="shared" si="7"/>
        <v>0.51495281875038368</v>
      </c>
      <c r="M45">
        <f t="shared" si="33"/>
        <v>4.6869029533425373E-2</v>
      </c>
      <c r="N45">
        <f t="shared" si="34"/>
        <v>-0.65299913555796674</v>
      </c>
      <c r="O45">
        <f t="shared" si="35"/>
        <v>0.37071837046806133</v>
      </c>
      <c r="P45">
        <f t="shared" si="36"/>
        <v>-0.82945711872221106</v>
      </c>
      <c r="Q45">
        <f t="shared" si="37"/>
        <v>-0.31206650233144539</v>
      </c>
      <c r="R45">
        <f t="shared" si="13"/>
        <v>0.42261040939911027</v>
      </c>
      <c r="S45">
        <f t="shared" si="38"/>
        <v>-0.23573916918175325</v>
      </c>
      <c r="T45">
        <f t="shared" si="15"/>
        <v>0.44133663114172317</v>
      </c>
      <c r="U45">
        <f t="shared" si="39"/>
        <v>8.5123674972250693E-2</v>
      </c>
      <c r="V45">
        <f t="shared" si="40"/>
        <v>0.15051574616345675</v>
      </c>
      <c r="W45" s="3">
        <f t="shared" si="41"/>
        <v>0.23563942113570746</v>
      </c>
      <c r="X45" s="2">
        <f t="shared" si="42"/>
        <v>-5.6728691965072251E-4</v>
      </c>
      <c r="Y45">
        <f t="shared" si="43"/>
        <v>-1.134573839301445E-3</v>
      </c>
      <c r="Z45">
        <f t="shared" si="44"/>
        <v>5.8025750715173807E-4</v>
      </c>
      <c r="AA45">
        <f t="shared" si="45"/>
        <v>1.1605150143034761E-3</v>
      </c>
      <c r="AB45" s="1">
        <f t="shared" si="46"/>
        <v>5.1979158933940631E-2</v>
      </c>
      <c r="AC45" s="1">
        <f t="shared" si="47"/>
        <v>5.184617960297986E-2</v>
      </c>
      <c r="AD45" s="1">
        <f t="shared" si="48"/>
        <v>-6.9840294982373485E-2</v>
      </c>
      <c r="AE45" s="1">
        <f t="shared" si="49"/>
        <v>-6.9661621146718269E-2</v>
      </c>
    </row>
    <row r="46" spans="1:31" x14ac:dyDescent="0.2">
      <c r="A46">
        <v>0.01</v>
      </c>
      <c r="B46">
        <v>0.99</v>
      </c>
      <c r="C46">
        <v>0.05</v>
      </c>
      <c r="D46">
        <v>0.1</v>
      </c>
      <c r="E46" s="2">
        <f t="shared" si="27"/>
        <v>0.30052651962144061</v>
      </c>
      <c r="F46">
        <f t="shared" si="28"/>
        <v>0.50105303924288125</v>
      </c>
      <c r="G46">
        <f t="shared" si="29"/>
        <v>-0.20074156472295271</v>
      </c>
      <c r="H46">
        <f t="shared" si="30"/>
        <v>0.69851687055409462</v>
      </c>
      <c r="I46">
        <f t="shared" si="31"/>
        <v>6.5131629905360158E-2</v>
      </c>
      <c r="J46">
        <f t="shared" si="5"/>
        <v>0.51627715373401484</v>
      </c>
      <c r="K46">
        <f t="shared" si="32"/>
        <v>5.981460881926183E-2</v>
      </c>
      <c r="L46">
        <f t="shared" si="7"/>
        <v>0.51494919538362582</v>
      </c>
      <c r="M46">
        <f t="shared" si="33"/>
        <v>4.1671113640031308E-2</v>
      </c>
      <c r="N46">
        <f t="shared" si="34"/>
        <v>-0.65818375351826475</v>
      </c>
      <c r="O46">
        <f t="shared" si="35"/>
        <v>0.37770239996629867</v>
      </c>
      <c r="P46">
        <f t="shared" si="36"/>
        <v>-0.82249095660753924</v>
      </c>
      <c r="Q46">
        <f t="shared" si="37"/>
        <v>-0.3174173503458031</v>
      </c>
      <c r="R46">
        <f t="shared" si="13"/>
        <v>0.42130528798479605</v>
      </c>
      <c r="S46">
        <f t="shared" si="38"/>
        <v>-0.22854193630225389</v>
      </c>
      <c r="T46">
        <f t="shared" si="15"/>
        <v>0.44311191275555722</v>
      </c>
      <c r="U46">
        <f t="shared" si="39"/>
        <v>8.4586019962128001E-2</v>
      </c>
      <c r="V46">
        <f t="shared" si="40"/>
        <v>0.14954328998494265</v>
      </c>
      <c r="W46" s="3">
        <f t="shared" si="41"/>
        <v>0.23412930994707065</v>
      </c>
      <c r="X46" s="2">
        <f t="shared" si="42"/>
        <v>-5.8429271251898385E-4</v>
      </c>
      <c r="Y46">
        <f t="shared" si="43"/>
        <v>-1.1685854250379677E-3</v>
      </c>
      <c r="Z46">
        <f t="shared" si="44"/>
        <v>5.6193231644664657E-4</v>
      </c>
      <c r="AA46">
        <f t="shared" si="45"/>
        <v>1.1238646328932931E-3</v>
      </c>
      <c r="AB46" s="1">
        <f t="shared" si="46"/>
        <v>5.1771842853972003E-2</v>
      </c>
      <c r="AC46" s="1">
        <f t="shared" si="47"/>
        <v>5.1638676296947905E-2</v>
      </c>
      <c r="AD46" s="1">
        <f t="shared" si="48"/>
        <v>-6.9672713334761591E-2</v>
      </c>
      <c r="AE46" s="1">
        <f t="shared" si="49"/>
        <v>-6.9493502496555823E-2</v>
      </c>
    </row>
    <row r="47" spans="1:31" x14ac:dyDescent="0.2">
      <c r="A47">
        <v>0.01</v>
      </c>
      <c r="B47">
        <v>0.99</v>
      </c>
      <c r="C47">
        <v>0.05</v>
      </c>
      <c r="D47">
        <v>0.1</v>
      </c>
      <c r="E47" s="2">
        <f t="shared" si="27"/>
        <v>0.30058494889269249</v>
      </c>
      <c r="F47">
        <f t="shared" si="28"/>
        <v>0.50116989778538501</v>
      </c>
      <c r="G47">
        <f t="shared" si="29"/>
        <v>-0.20079775795459737</v>
      </c>
      <c r="H47">
        <f t="shared" si="30"/>
        <v>0.69840448409080524</v>
      </c>
      <c r="I47">
        <f t="shared" si="31"/>
        <v>6.5146237223173128E-2</v>
      </c>
      <c r="J47">
        <f t="shared" si="5"/>
        <v>0.51628080169245416</v>
      </c>
      <c r="K47">
        <f t="shared" si="32"/>
        <v>5.9800560511350666E-2</v>
      </c>
      <c r="L47">
        <f t="shared" si="7"/>
        <v>0.51494568644540528</v>
      </c>
      <c r="M47">
        <f t="shared" si="33"/>
        <v>3.6493929354634108E-2</v>
      </c>
      <c r="N47">
        <f t="shared" si="34"/>
        <v>-0.66334762114795953</v>
      </c>
      <c r="O47">
        <f t="shared" si="35"/>
        <v>0.38466967129977481</v>
      </c>
      <c r="P47">
        <f t="shared" si="36"/>
        <v>-0.81554160635788364</v>
      </c>
      <c r="Q47">
        <f t="shared" si="37"/>
        <v>-0.32274688101984439</v>
      </c>
      <c r="R47">
        <f t="shared" si="13"/>
        <v>0.42000645815254184</v>
      </c>
      <c r="S47">
        <f t="shared" si="38"/>
        <v>-0.22136206602532835</v>
      </c>
      <c r="T47">
        <f t="shared" si="15"/>
        <v>0.44488436077807048</v>
      </c>
      <c r="U47">
        <f t="shared" si="39"/>
        <v>8.4052647863396016E-2</v>
      </c>
      <c r="V47">
        <f t="shared" si="40"/>
        <v>0.14857553006216642</v>
      </c>
      <c r="W47" s="3">
        <f t="shared" si="41"/>
        <v>0.23262817792556245</v>
      </c>
      <c r="X47" s="2">
        <f t="shared" si="42"/>
        <v>-6.011175108964885E-4</v>
      </c>
      <c r="Y47">
        <f t="shared" si="43"/>
        <v>-1.202235021792977E-3</v>
      </c>
      <c r="Z47">
        <f t="shared" si="44"/>
        <v>5.4372401243463566E-4</v>
      </c>
      <c r="AA47">
        <f t="shared" si="45"/>
        <v>1.0874480248692713E-3</v>
      </c>
      <c r="AB47" s="1">
        <f t="shared" si="46"/>
        <v>5.1565092285329295E-2</v>
      </c>
      <c r="AC47" s="1">
        <f t="shared" si="47"/>
        <v>5.1431743648889708E-2</v>
      </c>
      <c r="AD47" s="1">
        <f t="shared" si="48"/>
        <v>-6.9503267095601062E-2</v>
      </c>
      <c r="AE47" s="1">
        <f t="shared" si="49"/>
        <v>-6.9323529884155563E-2</v>
      </c>
    </row>
    <row r="48" spans="1:31" x14ac:dyDescent="0.2">
      <c r="A48">
        <v>0.01</v>
      </c>
      <c r="B48">
        <v>0.99</v>
      </c>
      <c r="C48">
        <v>0.05</v>
      </c>
      <c r="D48">
        <v>0.1</v>
      </c>
      <c r="E48" s="2">
        <f t="shared" si="27"/>
        <v>0.30064506064378216</v>
      </c>
      <c r="F48">
        <f t="shared" si="28"/>
        <v>0.50129012128756434</v>
      </c>
      <c r="G48">
        <f t="shared" si="29"/>
        <v>-0.20085213035584082</v>
      </c>
      <c r="H48">
        <f t="shared" si="30"/>
        <v>0.69829573928831834</v>
      </c>
      <c r="I48">
        <f t="shared" si="31"/>
        <v>6.5161265160945545E-2</v>
      </c>
      <c r="J48">
        <f t="shared" si="5"/>
        <v>0.51628455469260603</v>
      </c>
      <c r="K48">
        <f t="shared" si="32"/>
        <v>5.9786967411039796E-2</v>
      </c>
      <c r="L48">
        <f t="shared" si="7"/>
        <v>0.51494229120597668</v>
      </c>
      <c r="M48">
        <f t="shared" si="33"/>
        <v>3.1337420126101176E-2</v>
      </c>
      <c r="N48">
        <f t="shared" si="34"/>
        <v>-0.66849079551284851</v>
      </c>
      <c r="O48">
        <f t="shared" si="35"/>
        <v>0.39161999800933489</v>
      </c>
      <c r="P48">
        <f t="shared" si="36"/>
        <v>-0.8086092533694681</v>
      </c>
      <c r="Q48">
        <f t="shared" si="37"/>
        <v>-0.32805515589647299</v>
      </c>
      <c r="R48">
        <f t="shared" si="13"/>
        <v>0.41871390879512088</v>
      </c>
      <c r="S48">
        <f t="shared" si="38"/>
        <v>-0.21419974533945929</v>
      </c>
      <c r="T48">
        <f t="shared" si="15"/>
        <v>0.44665387468824619</v>
      </c>
      <c r="U48">
        <f t="shared" si="39"/>
        <v>8.3523529621293197E-2</v>
      </c>
      <c r="V48">
        <f t="shared" si="40"/>
        <v>0.14761250594564801</v>
      </c>
      <c r="W48" s="3">
        <f t="shared" si="41"/>
        <v>0.23113603556694121</v>
      </c>
      <c r="X48" s="2">
        <f t="shared" si="42"/>
        <v>-6.1776119574371148E-4</v>
      </c>
      <c r="Y48">
        <f t="shared" si="43"/>
        <v>-1.235522391487423E-3</v>
      </c>
      <c r="Z48">
        <f t="shared" si="44"/>
        <v>5.2563359976669027E-4</v>
      </c>
      <c r="AA48">
        <f t="shared" si="45"/>
        <v>1.0512671995333805E-3</v>
      </c>
      <c r="AB48" s="1">
        <f t="shared" si="46"/>
        <v>5.1358918388594008E-2</v>
      </c>
      <c r="AC48" s="1">
        <f t="shared" si="47"/>
        <v>5.1225392796477788E-2</v>
      </c>
      <c r="AD48" s="1">
        <f t="shared" si="48"/>
        <v>-6.9331993272772507E-2</v>
      </c>
      <c r="AE48" s="1">
        <f t="shared" si="49"/>
        <v>-6.9151740344073745E-2</v>
      </c>
    </row>
    <row r="49" spans="1:31" x14ac:dyDescent="0.2">
      <c r="A49">
        <v>0.01</v>
      </c>
      <c r="B49">
        <v>0.99</v>
      </c>
      <c r="C49">
        <v>0.05</v>
      </c>
      <c r="D49">
        <v>0.1</v>
      </c>
      <c r="E49" s="2">
        <f t="shared" si="27"/>
        <v>0.30070683676335652</v>
      </c>
      <c r="F49">
        <f t="shared" si="28"/>
        <v>0.50141367352671307</v>
      </c>
      <c r="G49">
        <f t="shared" si="29"/>
        <v>-0.20090469371581748</v>
      </c>
      <c r="H49">
        <f t="shared" si="30"/>
        <v>0.69819061256836501</v>
      </c>
      <c r="I49">
        <f t="shared" si="31"/>
        <v>6.5176709190839135E-2</v>
      </c>
      <c r="J49">
        <f t="shared" si="5"/>
        <v>0.51628841160355776</v>
      </c>
      <c r="K49">
        <f t="shared" si="32"/>
        <v>5.9773826571045623E-2</v>
      </c>
      <c r="L49">
        <f t="shared" si="7"/>
        <v>0.51493900892931621</v>
      </c>
      <c r="M49">
        <f t="shared" si="33"/>
        <v>2.6201528287241774E-2</v>
      </c>
      <c r="N49">
        <f t="shared" si="34"/>
        <v>-0.6736133347924963</v>
      </c>
      <c r="O49">
        <f t="shared" si="35"/>
        <v>0.39855319733661215</v>
      </c>
      <c r="P49">
        <f t="shared" si="36"/>
        <v>-0.80169407933506076</v>
      </c>
      <c r="Q49">
        <f t="shared" si="37"/>
        <v>-0.33334223759861398</v>
      </c>
      <c r="R49">
        <f t="shared" si="13"/>
        <v>0.4174276281808042</v>
      </c>
      <c r="S49">
        <f t="shared" si="38"/>
        <v>-0.207055157484858</v>
      </c>
      <c r="T49">
        <f t="shared" si="15"/>
        <v>0.44842035527416946</v>
      </c>
      <c r="U49">
        <f t="shared" si="39"/>
        <v>8.2998636102517814E-2</v>
      </c>
      <c r="V49">
        <f t="shared" si="40"/>
        <v>0.14665425579067842</v>
      </c>
      <c r="W49" s="3">
        <f t="shared" si="41"/>
        <v>0.22965289189319624</v>
      </c>
      <c r="X49" s="2">
        <f t="shared" si="42"/>
        <v>-6.3422369298503779E-4</v>
      </c>
      <c r="Y49">
        <f t="shared" si="43"/>
        <v>-1.2684473859700756E-3</v>
      </c>
      <c r="Z49">
        <f t="shared" si="44"/>
        <v>5.0766204876562943E-4</v>
      </c>
      <c r="AA49">
        <f t="shared" si="45"/>
        <v>1.0153240975312589E-3</v>
      </c>
      <c r="AB49" s="1">
        <f t="shared" si="46"/>
        <v>5.1153331985619631E-2</v>
      </c>
      <c r="AC49" s="1">
        <f t="shared" si="47"/>
        <v>5.1019634537785442E-2</v>
      </c>
      <c r="AD49" s="1">
        <f t="shared" si="48"/>
        <v>-6.9158929038318925E-2</v>
      </c>
      <c r="AE49" s="1">
        <f t="shared" si="49"/>
        <v>-6.8978171071077066E-2</v>
      </c>
    </row>
    <row r="50" spans="1:31" x14ac:dyDescent="0.2">
      <c r="A50">
        <v>0.01</v>
      </c>
      <c r="B50">
        <v>0.99</v>
      </c>
      <c r="C50">
        <v>0.05</v>
      </c>
      <c r="D50">
        <v>0.1</v>
      </c>
      <c r="E50" s="2">
        <f t="shared" si="27"/>
        <v>0.30077025913265504</v>
      </c>
      <c r="F50">
        <f t="shared" si="28"/>
        <v>0.5015405182653101</v>
      </c>
      <c r="G50">
        <f t="shared" si="29"/>
        <v>-0.20095545992069405</v>
      </c>
      <c r="H50">
        <f t="shared" si="30"/>
        <v>0.69808908015861193</v>
      </c>
      <c r="I50">
        <f t="shared" si="31"/>
        <v>6.5192564783163764E-2</v>
      </c>
      <c r="J50">
        <f t="shared" si="5"/>
        <v>0.51629237129393168</v>
      </c>
      <c r="K50">
        <f t="shared" si="32"/>
        <v>5.9761135019826488E-2</v>
      </c>
      <c r="L50">
        <f t="shared" si="7"/>
        <v>0.51493583887333461</v>
      </c>
      <c r="M50">
        <f t="shared" si="33"/>
        <v>2.1086195088679809E-2</v>
      </c>
      <c r="N50">
        <f t="shared" si="34"/>
        <v>-0.67871529824627486</v>
      </c>
      <c r="O50">
        <f t="shared" si="35"/>
        <v>0.40546909024044403</v>
      </c>
      <c r="P50">
        <f t="shared" si="36"/>
        <v>-0.79479626222795308</v>
      </c>
      <c r="Q50">
        <f t="shared" si="37"/>
        <v>-0.33860818979471008</v>
      </c>
      <c r="R50">
        <f t="shared" si="13"/>
        <v>0.41614760396991934</v>
      </c>
      <c r="S50">
        <f t="shared" si="38"/>
        <v>-0.19992848193710983</v>
      </c>
      <c r="T50">
        <f t="shared" si="15"/>
        <v>0.45018370465641844</v>
      </c>
      <c r="U50">
        <f t="shared" si="39"/>
        <v>8.2477938105253223E-2</v>
      </c>
      <c r="V50">
        <f t="shared" si="40"/>
        <v>0.14570081635923443</v>
      </c>
      <c r="W50" s="3">
        <f t="shared" si="41"/>
        <v>0.22817875446448765</v>
      </c>
      <c r="X50" s="2">
        <f t="shared" si="42"/>
        <v>-6.5050497298441319E-4</v>
      </c>
      <c r="Y50">
        <f t="shared" si="43"/>
        <v>-1.3010099459688264E-3</v>
      </c>
      <c r="Z50">
        <f t="shared" si="44"/>
        <v>4.8981029525990325E-4</v>
      </c>
      <c r="AA50">
        <f t="shared" si="45"/>
        <v>9.796205905198065E-4</v>
      </c>
      <c r="AB50" s="1">
        <f t="shared" si="46"/>
        <v>5.0948343564343926E-2</v>
      </c>
      <c r="AC50" s="1">
        <f t="shared" si="47"/>
        <v>5.0814479336120801E-2</v>
      </c>
      <c r="AD50" s="1">
        <f t="shared" si="48"/>
        <v>-6.8984111707574791E-2</v>
      </c>
      <c r="AE50" s="1">
        <f t="shared" si="49"/>
        <v>-6.8802859399308289E-2</v>
      </c>
    </row>
    <row r="51" spans="1:31" x14ac:dyDescent="0.2">
      <c r="A51">
        <v>0.01</v>
      </c>
      <c r="B51">
        <v>0.99</v>
      </c>
      <c r="C51">
        <v>0.05</v>
      </c>
      <c r="D51">
        <v>0.1</v>
      </c>
      <c r="E51" s="2">
        <f t="shared" si="27"/>
        <v>0.30083530962995347</v>
      </c>
      <c r="F51">
        <f t="shared" si="28"/>
        <v>0.50167061925990697</v>
      </c>
      <c r="G51">
        <f t="shared" si="29"/>
        <v>-0.20100444095022005</v>
      </c>
      <c r="H51">
        <f t="shared" si="30"/>
        <v>0.69799111809955994</v>
      </c>
      <c r="I51">
        <f t="shared" si="31"/>
        <v>6.5208827407488373E-2</v>
      </c>
      <c r="J51">
        <f t="shared" si="5"/>
        <v>0.51629643263216352</v>
      </c>
      <c r="K51">
        <f t="shared" si="32"/>
        <v>5.9748889762444995E-2</v>
      </c>
      <c r="L51">
        <f t="shared" si="7"/>
        <v>0.51493278029009304</v>
      </c>
      <c r="M51">
        <f t="shared" si="33"/>
        <v>1.5991360732245417E-2</v>
      </c>
      <c r="N51">
        <f t="shared" si="34"/>
        <v>-0.68379674617988695</v>
      </c>
      <c r="O51">
        <f t="shared" si="35"/>
        <v>0.41236750141120149</v>
      </c>
      <c r="P51">
        <f t="shared" si="36"/>
        <v>-0.78791597628802224</v>
      </c>
      <c r="Q51">
        <f t="shared" si="37"/>
        <v>-0.3438530771647359</v>
      </c>
      <c r="R51">
        <f t="shared" si="13"/>
        <v>0.41487382323121152</v>
      </c>
      <c r="S51">
        <f t="shared" si="38"/>
        <v>-0.19281989439293232</v>
      </c>
      <c r="T51">
        <f t="shared" si="15"/>
        <v>0.45194382631033525</v>
      </c>
      <c r="U51">
        <f t="shared" si="39"/>
        <v>8.1961406368929152E-2</v>
      </c>
      <c r="V51">
        <f t="shared" si="40"/>
        <v>0.14475222302278135</v>
      </c>
      <c r="W51" s="3">
        <f t="shared" si="41"/>
        <v>0.2267136293917105</v>
      </c>
      <c r="X51" s="2">
        <f t="shared" si="42"/>
        <v>-6.6660504999965569E-4</v>
      </c>
      <c r="Y51">
        <f t="shared" si="43"/>
        <v>-1.3332100999993114E-3</v>
      </c>
      <c r="Z51">
        <f t="shared" si="44"/>
        <v>4.720792404442829E-4</v>
      </c>
      <c r="AA51">
        <f t="shared" si="45"/>
        <v>9.4415848088856579E-4</v>
      </c>
      <c r="AB51" s="1">
        <f t="shared" si="46"/>
        <v>5.0743963283631309E-2</v>
      </c>
      <c r="AC51" s="1">
        <f t="shared" si="47"/>
        <v>5.0609937324891122E-2</v>
      </c>
      <c r="AD51" s="1">
        <f t="shared" si="48"/>
        <v>-6.8807578718505152E-2</v>
      </c>
      <c r="AE51" s="1">
        <f t="shared" si="49"/>
        <v>-6.8625842781664892E-2</v>
      </c>
    </row>
    <row r="52" spans="1:31" x14ac:dyDescent="0.2">
      <c r="A52">
        <v>0.01</v>
      </c>
      <c r="B52">
        <v>0.99</v>
      </c>
      <c r="C52">
        <v>0.05</v>
      </c>
      <c r="D52">
        <v>0.1</v>
      </c>
      <c r="E52" s="2">
        <f t="shared" si="27"/>
        <v>0.30090197013495346</v>
      </c>
      <c r="F52">
        <f t="shared" si="28"/>
        <v>0.50180394026990693</v>
      </c>
      <c r="G52">
        <f t="shared" si="29"/>
        <v>-0.20105164887426447</v>
      </c>
      <c r="H52">
        <f t="shared" si="30"/>
        <v>0.69789670225147105</v>
      </c>
      <c r="I52">
        <f t="shared" si="31"/>
        <v>6.5225492533738369E-2</v>
      </c>
      <c r="J52">
        <f t="shared" si="5"/>
        <v>0.51630059448677612</v>
      </c>
      <c r="K52">
        <f t="shared" si="32"/>
        <v>5.9737087781433884E-2</v>
      </c>
      <c r="L52">
        <f t="shared" si="7"/>
        <v>0.51492983242602008</v>
      </c>
      <c r="M52">
        <f t="shared" si="33"/>
        <v>1.0916964403882286E-2</v>
      </c>
      <c r="N52">
        <f t="shared" si="34"/>
        <v>-0.68885773991237609</v>
      </c>
      <c r="O52">
        <f t="shared" si="35"/>
        <v>0.41924825928305198</v>
      </c>
      <c r="P52">
        <f t="shared" si="36"/>
        <v>-0.7810533920098558</v>
      </c>
      <c r="Q52">
        <f t="shared" si="37"/>
        <v>-0.34907696536673133</v>
      </c>
      <c r="R52">
        <f t="shared" si="13"/>
        <v>0.4136062724580068</v>
      </c>
      <c r="S52">
        <f t="shared" si="38"/>
        <v>-0.18572956675802382</v>
      </c>
      <c r="T52">
        <f t="shared" si="15"/>
        <v>0.45370062508717562</v>
      </c>
      <c r="U52">
        <f t="shared" si="39"/>
        <v>8.1449011583723405E-2</v>
      </c>
      <c r="V52">
        <f t="shared" si="40"/>
        <v>0.14380850976594312</v>
      </c>
      <c r="W52" s="3">
        <f t="shared" si="41"/>
        <v>0.22525752134966653</v>
      </c>
      <c r="X52" s="2">
        <f t="shared" si="42"/>
        <v>-6.8252398161617819E-4</v>
      </c>
      <c r="Y52">
        <f t="shared" si="43"/>
        <v>-1.3650479632323564E-3</v>
      </c>
      <c r="Z52">
        <f t="shared" si="44"/>
        <v>4.5446975076730324E-4</v>
      </c>
      <c r="AA52">
        <f t="shared" si="45"/>
        <v>9.0893950153460648E-4</v>
      </c>
      <c r="AB52" s="1">
        <f t="shared" si="46"/>
        <v>5.0540200978141117E-2</v>
      </c>
      <c r="AC52" s="1">
        <f t="shared" si="47"/>
        <v>5.0406018312493236E-2</v>
      </c>
      <c r="AD52" s="1">
        <f t="shared" si="48"/>
        <v>-6.8629367611272682E-2</v>
      </c>
      <c r="AE52" s="1">
        <f t="shared" si="49"/>
        <v>-6.8447158769408531E-2</v>
      </c>
    </row>
    <row r="53" spans="1:31" x14ac:dyDescent="0.2">
      <c r="A53">
        <v>0.01</v>
      </c>
      <c r="B53">
        <v>0.99</v>
      </c>
      <c r="C53">
        <v>0.05</v>
      </c>
      <c r="D53">
        <v>0.1</v>
      </c>
      <c r="E53" s="2">
        <f t="shared" si="27"/>
        <v>0.30097022253311506</v>
      </c>
      <c r="F53">
        <f t="shared" si="28"/>
        <v>0.50194044506623015</v>
      </c>
      <c r="G53">
        <f t="shared" si="29"/>
        <v>-0.20109709584934118</v>
      </c>
      <c r="H53">
        <f t="shared" si="30"/>
        <v>0.69780580830131755</v>
      </c>
      <c r="I53">
        <f t="shared" si="31"/>
        <v>6.524255563327877E-2</v>
      </c>
      <c r="J53">
        <f t="shared" si="5"/>
        <v>0.5163048557266503</v>
      </c>
      <c r="K53">
        <f t="shared" si="32"/>
        <v>5.9725726037664705E-2</v>
      </c>
      <c r="L53">
        <f t="shared" si="7"/>
        <v>0.51492699452212798</v>
      </c>
      <c r="M53">
        <f t="shared" si="33"/>
        <v>5.8629443060681744E-3</v>
      </c>
      <c r="N53">
        <f t="shared" si="34"/>
        <v>-0.69389834174362541</v>
      </c>
      <c r="O53">
        <f t="shared" si="35"/>
        <v>0.42611119604417924</v>
      </c>
      <c r="P53">
        <f t="shared" si="36"/>
        <v>-0.774208676132915</v>
      </c>
      <c r="Q53">
        <f t="shared" si="37"/>
        <v>-0.35427992100385558</v>
      </c>
      <c r="R53">
        <f t="shared" si="13"/>
        <v>0.41234493758416985</v>
      </c>
      <c r="S53">
        <f t="shared" si="38"/>
        <v>-0.17865766713697712</v>
      </c>
      <c r="T53">
        <f t="shared" si="15"/>
        <v>0.45545400723413609</v>
      </c>
      <c r="U53">
        <f t="shared" si="39"/>
        <v>8.0940724399804764E-2</v>
      </c>
      <c r="V53">
        <f t="shared" si="40"/>
        <v>0.14286970919102152</v>
      </c>
      <c r="W53" s="3">
        <f t="shared" si="41"/>
        <v>0.22381043359082628</v>
      </c>
      <c r="X53" s="2">
        <f t="shared" si="42"/>
        <v>-6.9826186816089933E-4</v>
      </c>
      <c r="Y53">
        <f t="shared" si="43"/>
        <v>-1.3965237363217987E-3</v>
      </c>
      <c r="Z53">
        <f t="shared" si="44"/>
        <v>4.3698265784530117E-4</v>
      </c>
      <c r="AA53">
        <f t="shared" si="45"/>
        <v>8.7396531569060233E-4</v>
      </c>
      <c r="AB53" s="1">
        <f t="shared" si="46"/>
        <v>5.0337066163216669E-2</v>
      </c>
      <c r="AC53" s="1">
        <f t="shared" si="47"/>
        <v>5.0202731787224494E-2</v>
      </c>
      <c r="AD53" s="1">
        <f t="shared" si="48"/>
        <v>-6.8449516008051617E-2</v>
      </c>
      <c r="AE53" s="1">
        <f t="shared" si="49"/>
        <v>-6.8266844992023526E-2</v>
      </c>
    </row>
    <row r="54" spans="1:31" x14ac:dyDescent="0.2">
      <c r="A54">
        <v>0.01</v>
      </c>
      <c r="B54">
        <v>0.99</v>
      </c>
      <c r="C54">
        <v>0.05</v>
      </c>
      <c r="D54">
        <v>0.1</v>
      </c>
      <c r="E54" s="2">
        <f t="shared" si="27"/>
        <v>0.30104004871993117</v>
      </c>
      <c r="F54">
        <f t="shared" si="28"/>
        <v>0.50208009743986237</v>
      </c>
      <c r="G54">
        <f t="shared" si="29"/>
        <v>-0.20114079411512573</v>
      </c>
      <c r="H54">
        <f t="shared" si="30"/>
        <v>0.69771841176974847</v>
      </c>
      <c r="I54">
        <f t="shared" si="31"/>
        <v>6.5260012179982799E-2</v>
      </c>
      <c r="J54">
        <f t="shared" si="5"/>
        <v>0.5163092152212917</v>
      </c>
      <c r="K54">
        <f t="shared" si="32"/>
        <v>5.9714801471218562E-2</v>
      </c>
      <c r="L54">
        <f t="shared" si="7"/>
        <v>0.51492426581423056</v>
      </c>
      <c r="M54">
        <f t="shared" si="33"/>
        <v>8.2923768974650734E-4</v>
      </c>
      <c r="N54">
        <f t="shared" si="34"/>
        <v>-0.69891861492234786</v>
      </c>
      <c r="O54">
        <f t="shared" si="35"/>
        <v>0.43295614764498441</v>
      </c>
      <c r="P54">
        <f t="shared" si="36"/>
        <v>-0.76738199163371268</v>
      </c>
      <c r="Q54">
        <f t="shared" si="37"/>
        <v>-0.35946201159196395</v>
      </c>
      <c r="R54">
        <f t="shared" si="13"/>
        <v>0.41108980399985678</v>
      </c>
      <c r="S54">
        <f t="shared" si="38"/>
        <v>-0.17160435982523592</v>
      </c>
      <c r="T54">
        <f t="shared" si="15"/>
        <v>0.45720388041325871</v>
      </c>
      <c r="U54">
        <f t="shared" si="39"/>
        <v>8.0436515436321757E-2</v>
      </c>
      <c r="V54">
        <f t="shared" si="40"/>
        <v>0.14193585252334454</v>
      </c>
      <c r="W54" s="3">
        <f t="shared" si="41"/>
        <v>0.22237236795966631</v>
      </c>
      <c r="X54" s="2">
        <f t="shared" si="42"/>
        <v>-7.1381885209714151E-4</v>
      </c>
      <c r="Y54">
        <f t="shared" si="43"/>
        <v>-1.427637704194283E-3</v>
      </c>
      <c r="Z54">
        <f t="shared" si="44"/>
        <v>4.1961875840284445E-4</v>
      </c>
      <c r="AA54">
        <f t="shared" si="45"/>
        <v>8.392375168056889E-4</v>
      </c>
      <c r="AB54" s="1">
        <f t="shared" si="46"/>
        <v>5.0134568039790967E-2</v>
      </c>
      <c r="AC54" s="1">
        <f t="shared" si="47"/>
        <v>5.0000086922210654E-2</v>
      </c>
      <c r="AD54" s="1">
        <f t="shared" si="48"/>
        <v>-6.8268061593105764E-2</v>
      </c>
      <c r="AE54" s="1">
        <f t="shared" si="49"/>
        <v>-6.8084939137342385E-2</v>
      </c>
    </row>
    <row r="55" spans="1:31" x14ac:dyDescent="0.2">
      <c r="A55">
        <v>0.01</v>
      </c>
      <c r="B55">
        <v>0.99</v>
      </c>
      <c r="C55">
        <v>0.05</v>
      </c>
      <c r="D55">
        <v>0.1</v>
      </c>
      <c r="E55" s="2">
        <f t="shared" si="27"/>
        <v>0.3011114306051409</v>
      </c>
      <c r="F55">
        <f t="shared" si="28"/>
        <v>0.50222286121028181</v>
      </c>
      <c r="G55">
        <f t="shared" si="29"/>
        <v>-0.20118275599096602</v>
      </c>
      <c r="H55">
        <f t="shared" si="30"/>
        <v>0.69763448801806793</v>
      </c>
      <c r="I55">
        <f t="shared" si="31"/>
        <v>6.5277857651285229E-2</v>
      </c>
      <c r="J55">
        <f t="shared" si="5"/>
        <v>0.51631367184109422</v>
      </c>
      <c r="K55">
        <f t="shared" si="32"/>
        <v>5.9704311002258495E-2</v>
      </c>
      <c r="L55">
        <f t="shared" si="7"/>
        <v>0.51492164553316144</v>
      </c>
      <c r="M55">
        <f t="shared" si="33"/>
        <v>-4.1842191142325898E-3</v>
      </c>
      <c r="N55">
        <f t="shared" si="34"/>
        <v>-0.70391862361456892</v>
      </c>
      <c r="O55">
        <f t="shared" si="35"/>
        <v>0.439782953804295</v>
      </c>
      <c r="P55">
        <f t="shared" si="36"/>
        <v>-0.7605734977199784</v>
      </c>
      <c r="Q55">
        <f t="shared" si="37"/>
        <v>-0.36462330552770905</v>
      </c>
      <c r="R55">
        <f t="shared" si="13"/>
        <v>0.40984085656705688</v>
      </c>
      <c r="S55">
        <f t="shared" si="38"/>
        <v>-0.16456980530306564</v>
      </c>
      <c r="T55">
        <f t="shared" si="15"/>
        <v>0.4589501537192151</v>
      </c>
      <c r="U55">
        <f t="shared" si="39"/>
        <v>7.9936355290138872E-2</v>
      </c>
      <c r="V55">
        <f t="shared" si="40"/>
        <v>0.14100696961742262</v>
      </c>
      <c r="W55" s="3">
        <f t="shared" si="41"/>
        <v>0.22094332490756149</v>
      </c>
      <c r="X55" s="2">
        <f t="shared" si="42"/>
        <v>-7.2919511740132193E-4</v>
      </c>
      <c r="Y55">
        <f t="shared" si="43"/>
        <v>-1.4583902348026439E-3</v>
      </c>
      <c r="Z55">
        <f t="shared" si="44"/>
        <v>4.0237881423929166E-4</v>
      </c>
      <c r="AA55">
        <f t="shared" si="45"/>
        <v>8.0475762847858332E-4</v>
      </c>
      <c r="AB55" s="1">
        <f t="shared" si="46"/>
        <v>4.9932715499304663E-2</v>
      </c>
      <c r="AC55" s="1">
        <f t="shared" si="47"/>
        <v>4.9798092580345919E-2</v>
      </c>
      <c r="AD55" s="1">
        <f t="shared" si="48"/>
        <v>-6.8085042093147294E-2</v>
      </c>
      <c r="AE55" s="1">
        <f t="shared" si="49"/>
        <v>-6.7901478931954196E-2</v>
      </c>
    </row>
    <row r="56" spans="1:31" x14ac:dyDescent="0.2">
      <c r="A56">
        <v>0.01</v>
      </c>
      <c r="B56">
        <v>0.99</v>
      </c>
      <c r="C56">
        <v>0.05</v>
      </c>
      <c r="D56">
        <v>0.1</v>
      </c>
      <c r="E56" s="2">
        <f t="shared" si="27"/>
        <v>0.30118435011688105</v>
      </c>
      <c r="F56">
        <f t="shared" si="28"/>
        <v>0.50236870023376212</v>
      </c>
      <c r="G56">
        <f t="shared" si="29"/>
        <v>-0.20122299387238995</v>
      </c>
      <c r="H56">
        <f t="shared" si="30"/>
        <v>0.69755401225522007</v>
      </c>
      <c r="I56">
        <f t="shared" si="31"/>
        <v>6.5296087529220267E-2</v>
      </c>
      <c r="J56">
        <f t="shared" si="5"/>
        <v>0.51631822445759923</v>
      </c>
      <c r="K56">
        <f t="shared" si="32"/>
        <v>5.9694251531902512E-2</v>
      </c>
      <c r="L56">
        <f t="shared" si="7"/>
        <v>0.51491913290499169</v>
      </c>
      <c r="M56">
        <f t="shared" si="33"/>
        <v>-9.1774906641630561E-3</v>
      </c>
      <c r="N56">
        <f t="shared" si="34"/>
        <v>-0.70889843287260346</v>
      </c>
      <c r="O56">
        <f t="shared" si="35"/>
        <v>0.44659145801360972</v>
      </c>
      <c r="P56">
        <f t="shared" si="36"/>
        <v>-0.75378334982678297</v>
      </c>
      <c r="Q56">
        <f t="shared" si="37"/>
        <v>-0.36976387205716527</v>
      </c>
      <c r="R56">
        <f t="shared" si="13"/>
        <v>0.40859807963492384</v>
      </c>
      <c r="S56">
        <f t="shared" si="38"/>
        <v>-0.15755416023150967</v>
      </c>
      <c r="T56">
        <f t="shared" si="15"/>
        <v>0.46069273769597352</v>
      </c>
      <c r="U56">
        <f t="shared" si="39"/>
        <v>7.9440214544324539E-2</v>
      </c>
      <c r="V56">
        <f t="shared" si="40"/>
        <v>0.14008308896389174</v>
      </c>
      <c r="W56" s="3">
        <f t="shared" si="41"/>
        <v>0.21952330350821628</v>
      </c>
      <c r="X56" s="2">
        <f t="shared" si="42"/>
        <v>-7.4439088892226267E-4</v>
      </c>
      <c r="Y56">
        <f t="shared" si="43"/>
        <v>-1.4887817778445253E-3</v>
      </c>
      <c r="Z56">
        <f t="shared" si="44"/>
        <v>3.8526355222119439E-4</v>
      </c>
      <c r="AA56">
        <f t="shared" si="45"/>
        <v>7.7052710444238878E-4</v>
      </c>
      <c r="AB56" s="1">
        <f t="shared" si="46"/>
        <v>4.9731517128632427E-2</v>
      </c>
      <c r="AC56" s="1">
        <f t="shared" si="47"/>
        <v>4.9596757319241389E-2</v>
      </c>
      <c r="AD56" s="1">
        <f t="shared" si="48"/>
        <v>-6.7900495257992077E-2</v>
      </c>
      <c r="AE56" s="1">
        <f t="shared" si="49"/>
        <v>-6.7716502121911853E-2</v>
      </c>
    </row>
    <row r="57" spans="1:31" x14ac:dyDescent="0.2">
      <c r="A57">
        <v>0.01</v>
      </c>
      <c r="B57">
        <v>0.99</v>
      </c>
      <c r="C57">
        <v>0.05</v>
      </c>
      <c r="D57">
        <v>0.1</v>
      </c>
      <c r="E57" s="2">
        <f t="shared" si="27"/>
        <v>0.30125878920577326</v>
      </c>
      <c r="F57">
        <f t="shared" si="28"/>
        <v>0.50251757841154654</v>
      </c>
      <c r="G57">
        <f t="shared" si="29"/>
        <v>-0.20126152022761207</v>
      </c>
      <c r="H57">
        <f t="shared" si="30"/>
        <v>0.69747695954477584</v>
      </c>
      <c r="I57">
        <f t="shared" si="31"/>
        <v>6.531469730144332E-2</v>
      </c>
      <c r="J57">
        <f t="shared" si="5"/>
        <v>0.51632287194375048</v>
      </c>
      <c r="K57">
        <f t="shared" si="32"/>
        <v>5.9684619943096991E-2</v>
      </c>
      <c r="L57">
        <f t="shared" si="7"/>
        <v>0.5149167271512487</v>
      </c>
      <c r="M57">
        <f t="shared" si="33"/>
        <v>-1.4150642377026299E-2</v>
      </c>
      <c r="N57">
        <f t="shared" si="34"/>
        <v>-0.71385810860452759</v>
      </c>
      <c r="O57">
        <f t="shared" si="35"/>
        <v>0.45338150753940892</v>
      </c>
      <c r="P57">
        <f t="shared" si="36"/>
        <v>-0.7470116996145918</v>
      </c>
      <c r="Q57">
        <f t="shared" si="37"/>
        <v>-0.37488378124497918</v>
      </c>
      <c r="R57">
        <f t="shared" si="13"/>
        <v>0.40736145705489085</v>
      </c>
      <c r="S57">
        <f t="shared" si="38"/>
        <v>-0.15055757745030252</v>
      </c>
      <c r="T57">
        <f t="shared" si="15"/>
        <v>0.46243154435235279</v>
      </c>
      <c r="U57">
        <f t="shared" si="39"/>
        <v>7.8948063776392935E-2</v>
      </c>
      <c r="V57">
        <f t="shared" si="40"/>
        <v>0.13916423769722175</v>
      </c>
      <c r="W57" s="3">
        <f t="shared" si="41"/>
        <v>0.21811230147361468</v>
      </c>
      <c r="X57" s="2">
        <f t="shared" si="42"/>
        <v>-7.5940643172396247E-4</v>
      </c>
      <c r="Y57">
        <f t="shared" si="43"/>
        <v>-1.5188128634479249E-3</v>
      </c>
      <c r="Z57">
        <f t="shared" si="44"/>
        <v>3.6827366430022319E-4</v>
      </c>
      <c r="AA57">
        <f t="shared" si="45"/>
        <v>7.3654732860044638E-4</v>
      </c>
      <c r="AB57" s="1">
        <f t="shared" si="46"/>
        <v>4.9530981215013418E-2</v>
      </c>
      <c r="AC57" s="1">
        <f t="shared" si="47"/>
        <v>4.9396089396177664E-2</v>
      </c>
      <c r="AD57" s="1">
        <f t="shared" si="48"/>
        <v>-6.771445884152695E-2</v>
      </c>
      <c r="AE57" s="1">
        <f t="shared" si="49"/>
        <v>-6.7530046453753698E-2</v>
      </c>
    </row>
    <row r="58" spans="1:31" x14ac:dyDescent="0.2">
      <c r="A58">
        <v>0.01</v>
      </c>
      <c r="B58">
        <v>0.99</v>
      </c>
      <c r="C58">
        <v>0.05</v>
      </c>
      <c r="D58">
        <v>0.1</v>
      </c>
      <c r="E58" s="2">
        <f t="shared" si="27"/>
        <v>0.30133472984894566</v>
      </c>
      <c r="F58">
        <f t="shared" si="28"/>
        <v>0.50266945969789134</v>
      </c>
      <c r="G58">
        <f t="shared" si="29"/>
        <v>-0.20129834759404208</v>
      </c>
      <c r="H58">
        <f t="shared" si="30"/>
        <v>0.69740330481191581</v>
      </c>
      <c r="I58">
        <f t="shared" si="31"/>
        <v>6.533368246223642E-2</v>
      </c>
      <c r="J58">
        <f t="shared" si="5"/>
        <v>0.51632761317414622</v>
      </c>
      <c r="K58">
        <f t="shared" si="32"/>
        <v>5.9675413101489487E-2</v>
      </c>
      <c r="L58">
        <f t="shared" si="7"/>
        <v>0.51491442748913385</v>
      </c>
      <c r="M58">
        <f t="shared" si="33"/>
        <v>-1.910374049852764E-2</v>
      </c>
      <c r="N58">
        <f t="shared" si="34"/>
        <v>-0.71879771754414534</v>
      </c>
      <c r="O58">
        <f t="shared" si="35"/>
        <v>0.46015295342356161</v>
      </c>
      <c r="P58">
        <f t="shared" si="36"/>
        <v>-0.74025869496921648</v>
      </c>
      <c r="Q58">
        <f t="shared" si="37"/>
        <v>-0.37998310394404278</v>
      </c>
      <c r="R58">
        <f t="shared" si="13"/>
        <v>0.40613097219557082</v>
      </c>
      <c r="S58">
        <f t="shared" si="38"/>
        <v>-0.14358020597770585</v>
      </c>
      <c r="T58">
        <f t="shared" si="15"/>
        <v>0.46416648717646963</v>
      </c>
      <c r="U58">
        <f t="shared" si="39"/>
        <v>7.8459873566304045E-2</v>
      </c>
      <c r="V58">
        <f t="shared" si="40"/>
        <v>0.13825044160416691</v>
      </c>
      <c r="W58" s="3">
        <f t="shared" si="41"/>
        <v>0.21671031517047096</v>
      </c>
      <c r="X58" s="2">
        <f t="shared" si="42"/>
        <v>-7.7424205041267205E-4</v>
      </c>
      <c r="Y58">
        <f t="shared" si="43"/>
        <v>-1.5484841008253441E-3</v>
      </c>
      <c r="Z58">
        <f t="shared" si="44"/>
        <v>3.5140980755623565E-4</v>
      </c>
      <c r="AA58">
        <f t="shared" si="45"/>
        <v>7.028196151124713E-4</v>
      </c>
      <c r="AB58" s="1">
        <f t="shared" si="46"/>
        <v>4.9331115750982597E-2</v>
      </c>
      <c r="AC58" s="1">
        <f t="shared" si="47"/>
        <v>4.9196096773058084E-2</v>
      </c>
      <c r="AD58" s="1">
        <f t="shared" si="48"/>
        <v>-6.7526970583003165E-2</v>
      </c>
      <c r="AE58" s="1">
        <f t="shared" si="49"/>
        <v>-6.7342149655852862E-2</v>
      </c>
    </row>
    <row r="59" spans="1:31" x14ac:dyDescent="0.2">
      <c r="A59">
        <v>0.01</v>
      </c>
      <c r="B59">
        <v>0.99</v>
      </c>
      <c r="C59">
        <v>0.05</v>
      </c>
      <c r="D59">
        <v>0.1</v>
      </c>
      <c r="E59" s="2">
        <f t="shared" si="27"/>
        <v>0.30141215405398691</v>
      </c>
      <c r="F59">
        <f t="shared" si="28"/>
        <v>0.50282430810797385</v>
      </c>
      <c r="G59">
        <f t="shared" si="29"/>
        <v>-0.20133348857479771</v>
      </c>
      <c r="H59">
        <f t="shared" si="30"/>
        <v>0.69733302285040455</v>
      </c>
      <c r="I59">
        <f t="shared" si="31"/>
        <v>6.5353038513496733E-2</v>
      </c>
      <c r="J59">
        <f t="shared" si="5"/>
        <v>0.51633244702528536</v>
      </c>
      <c r="K59">
        <f t="shared" si="32"/>
        <v>5.9666627856300572E-2</v>
      </c>
      <c r="L59">
        <f t="shared" si="7"/>
        <v>0.51491223313174039</v>
      </c>
      <c r="M59">
        <f t="shared" si="33"/>
        <v>-2.4036852073625901E-2</v>
      </c>
      <c r="N59">
        <f t="shared" si="34"/>
        <v>-0.7237173272214511</v>
      </c>
      <c r="O59">
        <f t="shared" si="35"/>
        <v>0.46690565048186194</v>
      </c>
      <c r="P59">
        <f t="shared" si="36"/>
        <v>-0.73352448000363124</v>
      </c>
      <c r="Q59">
        <f t="shared" si="37"/>
        <v>-0.38506191176569199</v>
      </c>
      <c r="R59">
        <f t="shared" si="13"/>
        <v>0.40490660795743649</v>
      </c>
      <c r="S59">
        <f t="shared" si="38"/>
        <v>-0.13662219101223602</v>
      </c>
      <c r="T59">
        <f t="shared" si="15"/>
        <v>0.46589748114908558</v>
      </c>
      <c r="U59">
        <f t="shared" si="39"/>
        <v>7.7975614504224217E-2</v>
      </c>
      <c r="V59">
        <f t="shared" si="40"/>
        <v>0.13734172513293655</v>
      </c>
      <c r="W59" s="3">
        <f t="shared" si="41"/>
        <v>0.21531733963716077</v>
      </c>
      <c r="X59" s="2">
        <f t="shared" si="42"/>
        <v>-7.8889808844913442E-4</v>
      </c>
      <c r="Y59">
        <f t="shared" si="43"/>
        <v>-1.5777961768982688E-3</v>
      </c>
      <c r="Z59">
        <f t="shared" si="44"/>
        <v>3.3467260426510171E-4</v>
      </c>
      <c r="AA59">
        <f t="shared" si="45"/>
        <v>6.6934520853020342E-4</v>
      </c>
      <c r="AB59" s="1">
        <f t="shared" si="46"/>
        <v>4.9131928439298575E-2</v>
      </c>
      <c r="AC59" s="1">
        <f t="shared" si="47"/>
        <v>4.8996787121358638E-2</v>
      </c>
      <c r="AD59" s="1">
        <f t="shared" si="48"/>
        <v>-6.7338068188669276E-2</v>
      </c>
      <c r="AE59" s="1">
        <f t="shared" si="49"/>
        <v>-6.7152849420108435E-2</v>
      </c>
    </row>
    <row r="60" spans="1:31" x14ac:dyDescent="0.2">
      <c r="A60">
        <v>0.01</v>
      </c>
      <c r="B60">
        <v>0.99</v>
      </c>
      <c r="C60">
        <v>0.05</v>
      </c>
      <c r="D60">
        <v>0.1</v>
      </c>
      <c r="E60" s="2">
        <f t="shared" si="27"/>
        <v>0.30149104386283182</v>
      </c>
      <c r="F60">
        <f t="shared" si="28"/>
        <v>0.50298208772566366</v>
      </c>
      <c r="G60">
        <f t="shared" si="29"/>
        <v>-0.20136695583522424</v>
      </c>
      <c r="H60">
        <f t="shared" si="30"/>
        <v>0.6972660883295515</v>
      </c>
      <c r="I60">
        <f t="shared" si="31"/>
        <v>6.537276096570796E-2</v>
      </c>
      <c r="J60">
        <f t="shared" si="5"/>
        <v>0.51633737237581057</v>
      </c>
      <c r="K60">
        <f t="shared" si="32"/>
        <v>5.9658261041193948E-2</v>
      </c>
      <c r="L60">
        <f t="shared" si="7"/>
        <v>0.51491014328827089</v>
      </c>
      <c r="M60">
        <f t="shared" si="33"/>
        <v>-2.8950044917555758E-2</v>
      </c>
      <c r="N60">
        <f t="shared" si="34"/>
        <v>-0.72861700593358691</v>
      </c>
      <c r="O60">
        <f t="shared" si="35"/>
        <v>0.47363945730072887</v>
      </c>
      <c r="P60">
        <f t="shared" si="36"/>
        <v>-0.72680919506162045</v>
      </c>
      <c r="Q60">
        <f t="shared" si="37"/>
        <v>-0.39012027705042662</v>
      </c>
      <c r="R60">
        <f t="shared" si="13"/>
        <v>0.40368834678728288</v>
      </c>
      <c r="S60">
        <f t="shared" si="38"/>
        <v>-0.12968367393624852</v>
      </c>
      <c r="T60">
        <f t="shared" si="15"/>
        <v>0.4676244427558624</v>
      </c>
      <c r="U60">
        <f t="shared" si="39"/>
        <v>7.7495257198051948E-2</v>
      </c>
      <c r="V60">
        <f t="shared" si="40"/>
        <v>0.13643811140306161</v>
      </c>
      <c r="W60" s="3">
        <f t="shared" si="41"/>
        <v>0.21393336860111356</v>
      </c>
      <c r="X60" s="2">
        <f t="shared" si="42"/>
        <v>-8.0337492744685058E-4</v>
      </c>
      <c r="Y60">
        <f t="shared" si="43"/>
        <v>-1.6067498548937012E-3</v>
      </c>
      <c r="Z60">
        <f t="shared" si="44"/>
        <v>3.1806264199083959E-4</v>
      </c>
      <c r="AA60">
        <f t="shared" si="45"/>
        <v>6.3612528398167918E-4</v>
      </c>
      <c r="AB60" s="1">
        <f t="shared" si="46"/>
        <v>4.8933426697865441E-2</v>
      </c>
      <c r="AC60" s="1">
        <f t="shared" si="47"/>
        <v>4.8798167827071651E-2</v>
      </c>
      <c r="AD60" s="1">
        <f t="shared" si="48"/>
        <v>-6.7147789313756395E-2</v>
      </c>
      <c r="AE60" s="1">
        <f t="shared" si="49"/>
        <v>-6.6962183383990709E-2</v>
      </c>
    </row>
    <row r="61" spans="1:31" x14ac:dyDescent="0.2">
      <c r="A61">
        <v>0.01</v>
      </c>
      <c r="B61">
        <v>0.99</v>
      </c>
      <c r="C61">
        <v>0.05</v>
      </c>
      <c r="D61">
        <v>0.1</v>
      </c>
      <c r="E61" s="2">
        <f t="shared" si="27"/>
        <v>0.30157138135557648</v>
      </c>
      <c r="F61">
        <f t="shared" si="28"/>
        <v>0.50314276271115299</v>
      </c>
      <c r="G61">
        <f t="shared" si="29"/>
        <v>-0.20139876209942331</v>
      </c>
      <c r="H61">
        <f t="shared" si="30"/>
        <v>0.69720247580115335</v>
      </c>
      <c r="I61">
        <f t="shared" si="31"/>
        <v>6.5392845338894126E-2</v>
      </c>
      <c r="J61">
        <f t="shared" si="5"/>
        <v>0.51634238810674637</v>
      </c>
      <c r="K61">
        <f t="shared" si="32"/>
        <v>5.965030947514418E-2</v>
      </c>
      <c r="L61">
        <f t="shared" si="7"/>
        <v>0.51490815716425464</v>
      </c>
      <c r="M61">
        <f t="shared" si="33"/>
        <v>-3.3843387587342302E-2</v>
      </c>
      <c r="N61">
        <f t="shared" si="34"/>
        <v>-0.73349682271629413</v>
      </c>
      <c r="O61">
        <f t="shared" si="35"/>
        <v>0.48035423623210449</v>
      </c>
      <c r="P61">
        <f t="shared" si="36"/>
        <v>-0.72011297672322139</v>
      </c>
      <c r="Q61">
        <f t="shared" si="37"/>
        <v>-0.39515827283915356</v>
      </c>
      <c r="R61">
        <f t="shared" si="13"/>
        <v>0.40247617069246683</v>
      </c>
      <c r="S61">
        <f t="shared" si="38"/>
        <v>-0.12276479232134269</v>
      </c>
      <c r="T61">
        <f t="shared" si="15"/>
        <v>0.46934728999853487</v>
      </c>
      <c r="U61">
        <f t="shared" si="39"/>
        <v>7.7018772280711176E-2</v>
      </c>
      <c r="V61">
        <f t="shared" si="40"/>
        <v>0.13553962221593485</v>
      </c>
      <c r="W61" s="3">
        <f t="shared" si="41"/>
        <v>0.21255839449664604</v>
      </c>
      <c r="X61" s="2">
        <f t="shared" si="42"/>
        <v>-8.1767298645724822E-4</v>
      </c>
      <c r="Y61">
        <f t="shared" si="43"/>
        <v>-1.6353459729144964E-3</v>
      </c>
      <c r="Z61">
        <f t="shared" si="44"/>
        <v>3.0158047370161062E-4</v>
      </c>
      <c r="AA61">
        <f t="shared" si="45"/>
        <v>6.0316094740322124E-4</v>
      </c>
      <c r="AB61" s="1">
        <f t="shared" si="46"/>
        <v>4.8735617664644432E-2</v>
      </c>
      <c r="AC61" s="1">
        <f t="shared" si="47"/>
        <v>4.8600245995639356E-2</v>
      </c>
      <c r="AD61" s="1">
        <f t="shared" si="48"/>
        <v>-6.69561715448279E-2</v>
      </c>
      <c r="AE61" s="1">
        <f t="shared" si="49"/>
        <v>-6.6770189112952627E-2</v>
      </c>
    </row>
    <row r="62" spans="1:31" x14ac:dyDescent="0.2">
      <c r="A62">
        <v>0.01</v>
      </c>
      <c r="B62">
        <v>0.99</v>
      </c>
      <c r="C62">
        <v>0.05</v>
      </c>
      <c r="D62">
        <v>0.1</v>
      </c>
      <c r="E62" s="2">
        <f t="shared" si="27"/>
        <v>0.30165314865422221</v>
      </c>
      <c r="F62">
        <f t="shared" si="28"/>
        <v>0.50330629730844445</v>
      </c>
      <c r="G62">
        <f t="shared" si="29"/>
        <v>-0.20142892014679348</v>
      </c>
      <c r="H62">
        <f t="shared" si="30"/>
        <v>0.69714215970641302</v>
      </c>
      <c r="I62">
        <f t="shared" si="31"/>
        <v>6.5413287163555559E-2</v>
      </c>
      <c r="J62">
        <f t="shared" si="5"/>
        <v>0.51634749310173345</v>
      </c>
      <c r="K62">
        <f t="shared" si="32"/>
        <v>5.9642769963301624E-2</v>
      </c>
      <c r="L62">
        <f t="shared" si="7"/>
        <v>0.51490627396176258</v>
      </c>
      <c r="M62">
        <f t="shared" si="33"/>
        <v>-3.8716949353806748E-2</v>
      </c>
      <c r="N62">
        <f t="shared" si="34"/>
        <v>-0.73835684731585804</v>
      </c>
      <c r="O62">
        <f t="shared" si="35"/>
        <v>0.48704985338658729</v>
      </c>
      <c r="P62">
        <f t="shared" si="36"/>
        <v>-0.71343595781192615</v>
      </c>
      <c r="Q62">
        <f t="shared" si="37"/>
        <v>-0.40017597284494744</v>
      </c>
      <c r="R62">
        <f t="shared" si="13"/>
        <v>0.40127006125492526</v>
      </c>
      <c r="S62">
        <f t="shared" si="38"/>
        <v>-0.11586567993554897</v>
      </c>
      <c r="T62">
        <f t="shared" si="15"/>
        <v>0.47106594240501221</v>
      </c>
      <c r="U62">
        <f t="shared" si="39"/>
        <v>7.6546130417216474E-2</v>
      </c>
      <c r="V62">
        <f t="shared" si="40"/>
        <v>0.13464627806599905</v>
      </c>
      <c r="W62" s="3">
        <f t="shared" si="41"/>
        <v>0.21119240848321552</v>
      </c>
      <c r="X62" s="2">
        <f t="shared" si="42"/>
        <v>-8.3179272124261092E-4</v>
      </c>
      <c r="Y62">
        <f t="shared" si="43"/>
        <v>-1.6635854424852218E-3</v>
      </c>
      <c r="Z62">
        <f t="shared" si="44"/>
        <v>2.8522661790906714E-4</v>
      </c>
      <c r="AA62">
        <f t="shared" si="45"/>
        <v>5.7045323581813429E-4</v>
      </c>
      <c r="AB62" s="1">
        <f t="shared" si="46"/>
        <v>4.8538508202552802E-2</v>
      </c>
      <c r="AC62" s="1">
        <f t="shared" si="47"/>
        <v>4.840302845687431E-2</v>
      </c>
      <c r="AD62" s="1">
        <f t="shared" si="48"/>
        <v>-6.6763252382504093E-2</v>
      </c>
      <c r="AE62" s="1">
        <f t="shared" si="49"/>
        <v>-6.6576904083217564E-2</v>
      </c>
    </row>
    <row r="63" spans="1:31" x14ac:dyDescent="0.2">
      <c r="A63">
        <v>0.01</v>
      </c>
      <c r="B63">
        <v>0.99</v>
      </c>
      <c r="C63">
        <v>0.05</v>
      </c>
      <c r="D63">
        <v>0.1</v>
      </c>
      <c r="E63" s="2">
        <f t="shared" si="27"/>
        <v>0.30173632792634647</v>
      </c>
      <c r="F63">
        <f t="shared" si="28"/>
        <v>0.50347265585269296</v>
      </c>
      <c r="G63">
        <f t="shared" si="29"/>
        <v>-0.20145744280858438</v>
      </c>
      <c r="H63">
        <f t="shared" si="30"/>
        <v>0.69708511438283116</v>
      </c>
      <c r="I63">
        <f t="shared" si="31"/>
        <v>6.5434081981586623E-2</v>
      </c>
      <c r="J63">
        <f t="shared" si="5"/>
        <v>0.5163526862472575</v>
      </c>
      <c r="K63">
        <f t="shared" si="32"/>
        <v>5.9635639297853898E-2</v>
      </c>
      <c r="L63">
        <f t="shared" si="7"/>
        <v>0.51490449287962381</v>
      </c>
      <c r="M63">
        <f t="shared" si="33"/>
        <v>-4.3570800174062028E-2</v>
      </c>
      <c r="N63">
        <f t="shared" si="34"/>
        <v>-0.74319715016154553</v>
      </c>
      <c r="O63">
        <f t="shared" si="35"/>
        <v>0.4937261786248377</v>
      </c>
      <c r="P63">
        <f t="shared" si="36"/>
        <v>-0.70677826740360439</v>
      </c>
      <c r="Q63">
        <f t="shared" si="37"/>
        <v>-0.40517345142533168</v>
      </c>
      <c r="R63">
        <f t="shared" si="13"/>
        <v>0.40006999964497009</v>
      </c>
      <c r="S63">
        <f t="shared" si="38"/>
        <v>-0.10898646675226387</v>
      </c>
      <c r="T63">
        <f t="shared" si="15"/>
        <v>0.4727803210384191</v>
      </c>
      <c r="U63">
        <f t="shared" si="39"/>
        <v>7.6077302311513481E-2</v>
      </c>
      <c r="V63">
        <f t="shared" si="40"/>
        <v>0.13375809815256037</v>
      </c>
      <c r="W63" s="3">
        <f t="shared" si="41"/>
        <v>0.20983540046407384</v>
      </c>
      <c r="X63" s="2">
        <f t="shared" si="42"/>
        <v>-8.4573462353765717E-4</v>
      </c>
      <c r="Y63">
        <f t="shared" si="43"/>
        <v>-1.6914692470753143E-3</v>
      </c>
      <c r="Z63">
        <f t="shared" si="44"/>
        <v>2.6900155883053989E-4</v>
      </c>
      <c r="AA63">
        <f t="shared" si="45"/>
        <v>5.3800311766107978E-4</v>
      </c>
      <c r="AB63" s="1">
        <f t="shared" si="46"/>
        <v>4.8342104904346622E-2</v>
      </c>
      <c r="AC63" s="1">
        <f t="shared" si="47"/>
        <v>4.8206521769863994E-2</v>
      </c>
      <c r="AD63" s="1">
        <f t="shared" si="48"/>
        <v>-6.6569069224572605E-2</v>
      </c>
      <c r="AE63" s="1">
        <f t="shared" si="49"/>
        <v>-6.6382365664954812E-2</v>
      </c>
    </row>
    <row r="64" spans="1:31" x14ac:dyDescent="0.2">
      <c r="A64">
        <v>0.01</v>
      </c>
      <c r="B64">
        <v>0.99</v>
      </c>
      <c r="C64">
        <v>0.05</v>
      </c>
      <c r="D64">
        <v>0.1</v>
      </c>
      <c r="E64" s="2">
        <f t="shared" si="27"/>
        <v>0.30182090138870021</v>
      </c>
      <c r="F64">
        <f t="shared" si="28"/>
        <v>0.50364180277740045</v>
      </c>
      <c r="G64">
        <f t="shared" si="29"/>
        <v>-0.20148434296446743</v>
      </c>
      <c r="H64">
        <f t="shared" si="30"/>
        <v>0.697031314071065</v>
      </c>
      <c r="I64">
        <f t="shared" si="31"/>
        <v>6.5455225347175058E-2</v>
      </c>
      <c r="J64">
        <f t="shared" si="5"/>
        <v>0.51635796643287402</v>
      </c>
      <c r="K64">
        <f t="shared" si="32"/>
        <v>5.9628914258883128E-2</v>
      </c>
      <c r="L64">
        <f t="shared" si="7"/>
        <v>0.51490281311363917</v>
      </c>
      <c r="M64">
        <f t="shared" si="33"/>
        <v>-4.8405010664496692E-2</v>
      </c>
      <c r="N64">
        <f t="shared" si="34"/>
        <v>-0.74801780233853188</v>
      </c>
      <c r="O64">
        <f t="shared" si="35"/>
        <v>0.50038308554729494</v>
      </c>
      <c r="P64">
        <f t="shared" si="36"/>
        <v>-0.70014003083710885</v>
      </c>
      <c r="Q64">
        <f t="shared" si="37"/>
        <v>-0.41015078355507323</v>
      </c>
      <c r="R64">
        <f t="shared" si="13"/>
        <v>0.39887596663485986</v>
      </c>
      <c r="S64">
        <f t="shared" si="38"/>
        <v>-0.10212727896088941</v>
      </c>
      <c r="T64">
        <f t="shared" si="15"/>
        <v>0.47449034850508859</v>
      </c>
      <c r="U64">
        <f t="shared" si="39"/>
        <v>7.5612258713098318E-2</v>
      </c>
      <c r="V64">
        <f t="shared" si="40"/>
        <v>0.13287510039220249</v>
      </c>
      <c r="W64" s="3">
        <f t="shared" si="41"/>
        <v>0.20848735910530081</v>
      </c>
      <c r="X64" s="2">
        <f t="shared" si="42"/>
        <v>-8.5949922030063408E-4</v>
      </c>
      <c r="Y64">
        <f t="shared" si="43"/>
        <v>-1.7189984406012682E-3</v>
      </c>
      <c r="Z64">
        <f t="shared" si="44"/>
        <v>2.5290574657351529E-4</v>
      </c>
      <c r="AA64">
        <f t="shared" si="45"/>
        <v>5.0581149314703059E-4</v>
      </c>
      <c r="AB64" s="1">
        <f t="shared" si="46"/>
        <v>4.8146414097484783E-2</v>
      </c>
      <c r="AC64" s="1">
        <f t="shared" si="47"/>
        <v>4.8010732227856234E-2</v>
      </c>
      <c r="AD64" s="1">
        <f t="shared" si="48"/>
        <v>-6.6373659349493935E-2</v>
      </c>
      <c r="AE64" s="1">
        <f t="shared" si="49"/>
        <v>-6.6186611105851251E-2</v>
      </c>
    </row>
    <row r="65" spans="1:31" x14ac:dyDescent="0.2">
      <c r="A65">
        <v>0.01</v>
      </c>
      <c r="B65">
        <v>0.99</v>
      </c>
      <c r="C65">
        <v>0.05</v>
      </c>
      <c r="D65">
        <v>0.1</v>
      </c>
      <c r="E65" s="2">
        <f t="shared" si="27"/>
        <v>0.30190685131073025</v>
      </c>
      <c r="F65">
        <f t="shared" si="28"/>
        <v>0.50381370262146052</v>
      </c>
      <c r="G65">
        <f t="shared" si="29"/>
        <v>-0.20150963353912479</v>
      </c>
      <c r="H65">
        <f t="shared" si="30"/>
        <v>0.69698073292175033</v>
      </c>
      <c r="I65">
        <f t="shared" si="31"/>
        <v>6.5476712827682568E-2</v>
      </c>
      <c r="J65">
        <f t="shared" si="5"/>
        <v>0.51636333255142863</v>
      </c>
      <c r="K65">
        <f t="shared" si="32"/>
        <v>5.9622591615218795E-2</v>
      </c>
      <c r="L65">
        <f t="shared" si="7"/>
        <v>0.51490123385679454</v>
      </c>
      <c r="M65">
        <f t="shared" si="33"/>
        <v>-5.3219652074245172E-2</v>
      </c>
      <c r="N65">
        <f t="shared" si="34"/>
        <v>-0.75281887556131755</v>
      </c>
      <c r="O65">
        <f t="shared" si="35"/>
        <v>0.50702045148224428</v>
      </c>
      <c r="P65">
        <f t="shared" si="36"/>
        <v>-0.69352136972652367</v>
      </c>
      <c r="Q65">
        <f t="shared" si="37"/>
        <v>-0.41510804479949187</v>
      </c>
      <c r="R65">
        <f t="shared" si="13"/>
        <v>0.39768794261214674</v>
      </c>
      <c r="S65">
        <f t="shared" si="38"/>
        <v>-9.5288238979139683E-2</v>
      </c>
      <c r="T65">
        <f t="shared" si="15"/>
        <v>0.47619594896152173</v>
      </c>
      <c r="U65">
        <f t="shared" si="39"/>
        <v>7.5150970423419589E-2</v>
      </c>
      <c r="V65">
        <f t="shared" si="40"/>
        <v>0.1319973014317756</v>
      </c>
      <c r="W65" s="3">
        <f t="shared" si="41"/>
        <v>0.20714827185519519</v>
      </c>
      <c r="X65" s="2">
        <f t="shared" si="42"/>
        <v>-8.7308707295479817E-4</v>
      </c>
      <c r="Y65">
        <f t="shared" si="43"/>
        <v>-1.7461741459095963E-3</v>
      </c>
      <c r="Z65">
        <f t="shared" si="44"/>
        <v>2.3693959734182881E-4</v>
      </c>
      <c r="AA65">
        <f t="shared" si="45"/>
        <v>4.7387919468365762E-4</v>
      </c>
      <c r="AB65" s="1">
        <f t="shared" si="46"/>
        <v>4.7951441848971446E-2</v>
      </c>
      <c r="AC65" s="1">
        <f t="shared" si="47"/>
        <v>4.7815665863122914E-2</v>
      </c>
      <c r="AD65" s="1">
        <f t="shared" si="48"/>
        <v>-6.6177059900310461E-2</v>
      </c>
      <c r="AE65" s="1">
        <f t="shared" si="49"/>
        <v>-6.5989677515087872E-2</v>
      </c>
    </row>
    <row r="66" spans="1:31" x14ac:dyDescent="0.2">
      <c r="A66">
        <v>0.01</v>
      </c>
      <c r="B66">
        <v>0.99</v>
      </c>
      <c r="C66">
        <v>0.05</v>
      </c>
      <c r="D66">
        <v>0.1</v>
      </c>
      <c r="E66" s="2">
        <f t="shared" si="27"/>
        <v>0.3019941600180257</v>
      </c>
      <c r="F66">
        <f t="shared" si="28"/>
        <v>0.50398832003605143</v>
      </c>
      <c r="G66">
        <f t="shared" si="29"/>
        <v>-0.20153332749885897</v>
      </c>
      <c r="H66">
        <f t="shared" si="30"/>
        <v>0.69693334500228199</v>
      </c>
      <c r="I66">
        <f t="shared" si="31"/>
        <v>6.5498540004506431E-2</v>
      </c>
      <c r="J66">
        <f t="shared" si="5"/>
        <v>0.51636878349927207</v>
      </c>
      <c r="K66">
        <f t="shared" si="32"/>
        <v>5.9616668125285252E-2</v>
      </c>
      <c r="L66">
        <f t="shared" si="7"/>
        <v>0.51489975429947232</v>
      </c>
      <c r="M66">
        <f t="shared" si="33"/>
        <v>-5.8014796259142319E-2</v>
      </c>
      <c r="N66">
        <f t="shared" si="34"/>
        <v>-0.75760044214762989</v>
      </c>
      <c r="O66">
        <f t="shared" si="35"/>
        <v>0.51363815747227537</v>
      </c>
      <c r="P66">
        <f t="shared" si="36"/>
        <v>-0.68692240197501486</v>
      </c>
      <c r="Q66">
        <f t="shared" si="37"/>
        <v>-0.42004531128827766</v>
      </c>
      <c r="R66">
        <f t="shared" si="13"/>
        <v>0.39650590759280019</v>
      </c>
      <c r="S66">
        <f t="shared" si="38"/>
        <v>-8.8469465466972153E-2</v>
      </c>
      <c r="T66">
        <f t="shared" si="15"/>
        <v>0.47789704812032752</v>
      </c>
      <c r="U66">
        <f t="shared" si="39"/>
        <v>7.4693408302067096E-2</v>
      </c>
      <c r="V66">
        <f t="shared" si="40"/>
        <v>0.13112471666193706</v>
      </c>
      <c r="W66" s="3">
        <f t="shared" si="41"/>
        <v>0.20581812496400415</v>
      </c>
      <c r="X66" s="2">
        <f t="shared" si="42"/>
        <v>-8.8649877662115616E-4</v>
      </c>
      <c r="Y66">
        <f t="shared" si="43"/>
        <v>-1.7729975532423123E-3</v>
      </c>
      <c r="Z66">
        <f t="shared" si="44"/>
        <v>2.2110349366298416E-4</v>
      </c>
      <c r="AA66">
        <f t="shared" si="45"/>
        <v>4.4220698732596832E-4</v>
      </c>
      <c r="AB66" s="1">
        <f t="shared" si="46"/>
        <v>4.7757193970174326E-2</v>
      </c>
      <c r="AC66" s="1">
        <f t="shared" si="47"/>
        <v>4.762132845179954E-2</v>
      </c>
      <c r="AD66" s="1">
        <f t="shared" si="48"/>
        <v>-6.5979307868967121E-2</v>
      </c>
      <c r="AE66" s="1">
        <f t="shared" si="49"/>
        <v>-6.5791601847729253E-2</v>
      </c>
    </row>
    <row r="67" spans="1:31" x14ac:dyDescent="0.2">
      <c r="A67">
        <v>0.01</v>
      </c>
      <c r="B67">
        <v>0.99</v>
      </c>
      <c r="C67">
        <v>0.05</v>
      </c>
      <c r="D67">
        <v>0.1</v>
      </c>
      <c r="E67" s="2">
        <f t="shared" si="27"/>
        <v>0.30208280989568781</v>
      </c>
      <c r="F67">
        <f t="shared" si="28"/>
        <v>0.50416561979137564</v>
      </c>
      <c r="G67">
        <f t="shared" si="29"/>
        <v>-0.20155543784822527</v>
      </c>
      <c r="H67">
        <f t="shared" si="30"/>
        <v>0.69688912430354943</v>
      </c>
      <c r="I67">
        <f t="shared" si="31"/>
        <v>6.5520702473921957E-2</v>
      </c>
      <c r="J67">
        <f t="shared" si="5"/>
        <v>0.51637431817647061</v>
      </c>
      <c r="K67">
        <f t="shared" si="32"/>
        <v>5.961114053794369E-2</v>
      </c>
      <c r="L67">
        <f t="shared" si="7"/>
        <v>0.5148983736296624</v>
      </c>
      <c r="M67">
        <f t="shared" si="33"/>
        <v>-6.2790515656159757E-2</v>
      </c>
      <c r="N67">
        <f t="shared" si="34"/>
        <v>-0.76236257499280979</v>
      </c>
      <c r="O67">
        <f t="shared" si="35"/>
        <v>0.52023608825917211</v>
      </c>
      <c r="P67">
        <f t="shared" si="36"/>
        <v>-0.68034324179024197</v>
      </c>
      <c r="Q67">
        <f t="shared" si="37"/>
        <v>-0.42496265968981778</v>
      </c>
      <c r="R67">
        <f t="shared" si="13"/>
        <v>0.39532984123410514</v>
      </c>
      <c r="S67">
        <f t="shared" si="38"/>
        <v>-8.1671073342103551E-2</v>
      </c>
      <c r="T67">
        <f t="shared" si="15"/>
        <v>0.47959357325515872</v>
      </c>
      <c r="U67">
        <f t="shared" si="39"/>
        <v>7.4239543272750327E-2</v>
      </c>
      <c r="V67">
        <f t="shared" si="40"/>
        <v>0.13025736023121851</v>
      </c>
      <c r="W67" s="3">
        <f t="shared" si="41"/>
        <v>0.20449690350396882</v>
      </c>
      <c r="X67" s="2">
        <f t="shared" si="42"/>
        <v>-8.9973495934332246E-4</v>
      </c>
      <c r="Y67">
        <f t="shared" si="43"/>
        <v>-1.7994699186866449E-3</v>
      </c>
      <c r="Z67">
        <f t="shared" si="44"/>
        <v>2.0539778463598481E-4</v>
      </c>
      <c r="AA67">
        <f t="shared" si="45"/>
        <v>4.1079556927196961E-4</v>
      </c>
      <c r="AB67" s="1">
        <f t="shared" si="46"/>
        <v>4.7563676021616159E-2</v>
      </c>
      <c r="AC67" s="1">
        <f t="shared" si="47"/>
        <v>4.7427725518697721E-2</v>
      </c>
      <c r="AD67" s="1">
        <f t="shared" si="48"/>
        <v>-6.5780440081050745E-2</v>
      </c>
      <c r="AE67" s="1">
        <f t="shared" si="49"/>
        <v>-6.5592420889532599E-2</v>
      </c>
    </row>
    <row r="68" spans="1:31" x14ac:dyDescent="0.2">
      <c r="A68">
        <v>0.01</v>
      </c>
      <c r="B68">
        <v>0.99</v>
      </c>
      <c r="C68">
        <v>0.05</v>
      </c>
      <c r="D68">
        <v>0.1</v>
      </c>
      <c r="E68" s="2">
        <f t="shared" ref="E68:E76" si="50">E67-$F$33*X67</f>
        <v>0.30217278339162212</v>
      </c>
      <c r="F68">
        <f t="shared" ref="F68:F76" si="51">F67-$F$33*Y67</f>
        <v>0.50434556678324427</v>
      </c>
      <c r="G68">
        <f t="shared" ref="G68:G76" si="52">G67-$F$33*Z67</f>
        <v>-0.20157597762668886</v>
      </c>
      <c r="H68">
        <f t="shared" ref="H68:H76" si="53">H67-$F$33*AA67</f>
        <v>0.69684804474662221</v>
      </c>
      <c r="I68">
        <f t="shared" ref="I68:I76" si="54">E68*C68+F68*D68</f>
        <v>6.5543195847905536E-2</v>
      </c>
      <c r="J68">
        <f t="shared" si="5"/>
        <v>0.51637993548701222</v>
      </c>
      <c r="K68">
        <f t="shared" ref="K68:K76" si="55">G68*C68+H68*D68</f>
        <v>5.9606005593327786E-2</v>
      </c>
      <c r="L68">
        <f t="shared" si="7"/>
        <v>0.5148970910331705</v>
      </c>
      <c r="M68">
        <f t="shared" ref="M68:M76" si="56">M67-$F$33*AB67</f>
        <v>-6.7546883258321366E-2</v>
      </c>
      <c r="N68">
        <f t="shared" ref="N68:N76" si="57">N67-$F$33*AC67</f>
        <v>-0.76710534754467952</v>
      </c>
      <c r="O68">
        <f t="shared" ref="O68:O76" si="58">O67-$F$33*AD67</f>
        <v>0.52681413226727714</v>
      </c>
      <c r="P68">
        <f t="shared" ref="P68:P76" si="59">P67-$F$33*AE67</f>
        <v>-0.67378399970128866</v>
      </c>
      <c r="Q68">
        <f t="shared" ref="Q68:Q76" si="60">M68*J68+N68*L68</f>
        <v>-0.42986016718602543</v>
      </c>
      <c r="R68">
        <f t="shared" si="13"/>
        <v>0.39415972284733741</v>
      </c>
      <c r="S68">
        <f t="shared" ref="S68:S76" si="61">O68*J68+P68*L68</f>
        <v>-7.4893173797065282E-2</v>
      </c>
      <c r="T68">
        <f t="shared" si="15"/>
        <v>0.48128545320465982</v>
      </c>
      <c r="U68">
        <f t="shared" ref="U68:U76" si="62">1/2*(A68-R68)^2</f>
        <v>7.378934632907154E-2</v>
      </c>
      <c r="V68">
        <f t="shared" ref="V68:V76" si="63">1/2*(B68-T68)^2</f>
        <v>0.12939524506059419</v>
      </c>
      <c r="W68" s="3">
        <f t="shared" ref="W68:W76" si="64">SUM(U68:V68)</f>
        <v>0.20318459138966571</v>
      </c>
      <c r="X68" s="2">
        <f t="shared" ref="X68:X76" si="65">((R68-A68)*R68*(1-R68)*M68+(T68-B68)*T68*(1-T68)*O68)*J68*(1-J68)*C68</f>
        <v>-9.127962813053576E-4</v>
      </c>
      <c r="Y68">
        <f t="shared" ref="Y68:Y76" si="66">((R68-A68)*R68*(1-R68)*M68+(T68-B68)*T68*(1-T68)*O68)*J68*(1-J68)*D68</f>
        <v>-1.8255925626107152E-3</v>
      </c>
      <c r="Z68">
        <f t="shared" ref="Z68:Z76" si="67">((R68-A68)*R68*(1-R68)*N68+(T68-B68)*T68*(1-T68)*P68)*L68*(1-L68)*C68</f>
        <v>1.8982278619904215E-4</v>
      </c>
      <c r="AA68">
        <f t="shared" ref="AA68:AA76" si="68">((R68-A68)*R68*(1-R68)*N68+(T68-B68)*T68*(1-T68)*P68)*L68*(1-L68)*D68</f>
        <v>3.796455723980843E-4</v>
      </c>
      <c r="AB68" s="1">
        <f t="shared" ref="AB68:AB76" si="69">(R68-A68)*R68*(1-R68)*J68</f>
        <v>4.737089331773759E-2</v>
      </c>
      <c r="AC68" s="1">
        <f t="shared" ref="AC68:AC76" si="70">(R68-A68)*R68*(1-R68)*L68</f>
        <v>4.7234862342088846E-2</v>
      </c>
      <c r="AD68" s="1">
        <f t="shared" ref="AD68:AD76" si="71">(T68-B68)*T68*(1-T68)*J68</f>
        <v>-6.5580493180954338E-2</v>
      </c>
      <c r="AE68" s="1">
        <f t="shared" ref="AE68:AE76" si="72">(T68-B68)*T68*(1-T68)*L68</f>
        <v>-6.5392171242182898E-2</v>
      </c>
    </row>
    <row r="69" spans="1:31" x14ac:dyDescent="0.2">
      <c r="A69">
        <v>0.01</v>
      </c>
      <c r="B69">
        <v>0.99</v>
      </c>
      <c r="C69">
        <v>0.05</v>
      </c>
      <c r="D69">
        <v>0.1</v>
      </c>
      <c r="E69" s="2">
        <f t="shared" si="50"/>
        <v>0.30226406301975267</v>
      </c>
      <c r="F69">
        <f t="shared" si="51"/>
        <v>0.50452812603950536</v>
      </c>
      <c r="G69">
        <f t="shared" si="52"/>
        <v>-0.20159495990530876</v>
      </c>
      <c r="H69">
        <f t="shared" si="53"/>
        <v>0.6968100801893824</v>
      </c>
      <c r="I69">
        <f t="shared" si="54"/>
        <v>6.5566015754938173E-2</v>
      </c>
      <c r="J69">
        <f t="shared" si="5"/>
        <v>0.51638563433900675</v>
      </c>
      <c r="K69">
        <f t="shared" si="55"/>
        <v>5.9601260023672803E-2</v>
      </c>
      <c r="L69">
        <f t="shared" si="7"/>
        <v>0.5148959056938256</v>
      </c>
      <c r="M69">
        <f t="shared" si="56"/>
        <v>-7.2283972590095127E-2</v>
      </c>
      <c r="N69">
        <f t="shared" si="57"/>
        <v>-0.77182883377888845</v>
      </c>
      <c r="O69">
        <f t="shared" si="58"/>
        <v>0.53337218158537258</v>
      </c>
      <c r="P69">
        <f t="shared" si="59"/>
        <v>-0.66724478257707032</v>
      </c>
      <c r="Q69">
        <f t="shared" si="60"/>
        <v>-0.4347379114476696</v>
      </c>
      <c r="R69">
        <f t="shared" si="13"/>
        <v>0.39299553141021398</v>
      </c>
      <c r="S69">
        <f t="shared" si="61"/>
        <v>-6.8135874317757861E-2</v>
      </c>
      <c r="T69">
        <f t="shared" si="15"/>
        <v>0.48297261837544492</v>
      </c>
      <c r="U69">
        <f t="shared" si="62"/>
        <v>7.3342788540096099E-2</v>
      </c>
      <c r="V69">
        <f t="shared" si="63"/>
        <v>0.12853838285852609</v>
      </c>
      <c r="W69" s="3">
        <f t="shared" si="64"/>
        <v>0.20188117139862219</v>
      </c>
      <c r="X69" s="2">
        <f t="shared" si="65"/>
        <v>-9.2568343404342886E-4</v>
      </c>
      <c r="Y69">
        <f t="shared" si="66"/>
        <v>-1.8513668680868577E-3</v>
      </c>
      <c r="Z69">
        <f t="shared" si="67"/>
        <v>1.7437878141651802E-4</v>
      </c>
      <c r="AA69">
        <f t="shared" si="68"/>
        <v>3.4875756283303603E-4</v>
      </c>
      <c r="AB69" s="1">
        <f t="shared" si="69"/>
        <v>4.7178850931628422E-2</v>
      </c>
      <c r="AC69" s="1">
        <f t="shared" si="70"/>
        <v>4.7042743958456049E-2</v>
      </c>
      <c r="AD69" s="1">
        <f t="shared" si="71"/>
        <v>-6.5379503617471676E-2</v>
      </c>
      <c r="AE69" s="1">
        <f t="shared" si="72"/>
        <v>-6.519088930895911E-2</v>
      </c>
    </row>
    <row r="70" spans="1:31" x14ac:dyDescent="0.2">
      <c r="A70">
        <v>0.01</v>
      </c>
      <c r="B70">
        <v>0.99</v>
      </c>
      <c r="C70">
        <v>0.05</v>
      </c>
      <c r="D70">
        <v>0.1</v>
      </c>
      <c r="E70" s="2">
        <f t="shared" si="50"/>
        <v>0.30235663136315699</v>
      </c>
      <c r="F70">
        <f t="shared" si="51"/>
        <v>0.504713262726314</v>
      </c>
      <c r="G70">
        <f t="shared" si="52"/>
        <v>-0.20161239778345041</v>
      </c>
      <c r="H70">
        <f t="shared" si="53"/>
        <v>0.69677520443309904</v>
      </c>
      <c r="I70">
        <f t="shared" si="54"/>
        <v>6.5589157840789253E-2</v>
      </c>
      <c r="J70">
        <f t="shared" si="5"/>
        <v>0.51639141364488206</v>
      </c>
      <c r="K70">
        <f t="shared" si="55"/>
        <v>5.959690055413739E-2</v>
      </c>
      <c r="L70">
        <f t="shared" si="7"/>
        <v>0.51489481679368498</v>
      </c>
      <c r="M70">
        <f t="shared" si="56"/>
        <v>-7.7001857683257971E-2</v>
      </c>
      <c r="N70">
        <f t="shared" si="57"/>
        <v>-0.77653310817473409</v>
      </c>
      <c r="O70">
        <f t="shared" si="58"/>
        <v>0.53991013194711979</v>
      </c>
      <c r="P70">
        <f t="shared" si="59"/>
        <v>-0.66072569364617439</v>
      </c>
      <c r="Q70">
        <f t="shared" si="60"/>
        <v>-0.43959597061020006</v>
      </c>
      <c r="R70">
        <f t="shared" si="13"/>
        <v>0.39183724557912081</v>
      </c>
      <c r="S70">
        <f t="shared" si="61"/>
        <v>-6.1399278703459403E-2</v>
      </c>
      <c r="T70">
        <f t="shared" si="15"/>
        <v>0.48465500074412188</v>
      </c>
      <c r="U70">
        <f t="shared" si="62"/>
        <v>7.2899841055724904E-2</v>
      </c>
      <c r="V70">
        <f t="shared" si="63"/>
        <v>0.1276867841364617</v>
      </c>
      <c r="W70" s="3">
        <f t="shared" si="64"/>
        <v>0.20058662519218662</v>
      </c>
      <c r="X70" s="2">
        <f t="shared" si="65"/>
        <v>-9.383971396521387E-4</v>
      </c>
      <c r="Y70">
        <f t="shared" si="66"/>
        <v>-1.8767942793042774E-3</v>
      </c>
      <c r="Z70">
        <f t="shared" si="67"/>
        <v>1.5906602078443838E-4</v>
      </c>
      <c r="AA70">
        <f t="shared" si="68"/>
        <v>3.1813204156887675E-4</v>
      </c>
      <c r="AB70" s="1">
        <f t="shared" si="69"/>
        <v>4.6987553699725876E-2</v>
      </c>
      <c r="AC70" s="1">
        <f t="shared" si="70"/>
        <v>4.6851375167212897E-2</v>
      </c>
      <c r="AD70" s="1">
        <f t="shared" si="71"/>
        <v>-6.5177507629827491E-2</v>
      </c>
      <c r="AE70" s="1">
        <f t="shared" si="72"/>
        <v>-6.4988611280836772E-2</v>
      </c>
    </row>
    <row r="71" spans="1:31" x14ac:dyDescent="0.2">
      <c r="A71">
        <v>0.01</v>
      </c>
      <c r="B71">
        <v>0.99</v>
      </c>
      <c r="C71">
        <v>0.05</v>
      </c>
      <c r="D71">
        <v>0.1</v>
      </c>
      <c r="E71" s="2">
        <f t="shared" si="50"/>
        <v>0.3024504710771222</v>
      </c>
      <c r="F71">
        <f t="shared" si="51"/>
        <v>0.50490094215424441</v>
      </c>
      <c r="G71">
        <f t="shared" si="52"/>
        <v>-0.20162830438552887</v>
      </c>
      <c r="H71">
        <f t="shared" si="53"/>
        <v>0.69674339122894213</v>
      </c>
      <c r="I71">
        <f t="shared" si="54"/>
        <v>6.5612617769280554E-2</v>
      </c>
      <c r="J71">
        <f t="shared" si="5"/>
        <v>0.51639727232157462</v>
      </c>
      <c r="K71">
        <f t="shared" si="55"/>
        <v>5.959292390361777E-2</v>
      </c>
      <c r="L71">
        <f t="shared" si="7"/>
        <v>0.51489382351323831</v>
      </c>
      <c r="M71">
        <f t="shared" si="56"/>
        <v>-8.1700613053230564E-2</v>
      </c>
      <c r="N71">
        <f t="shared" si="57"/>
        <v>-0.78121824569145537</v>
      </c>
      <c r="O71">
        <f t="shared" si="58"/>
        <v>0.54642788271010256</v>
      </c>
      <c r="P71">
        <f t="shared" si="59"/>
        <v>-0.65422683251809066</v>
      </c>
      <c r="Q71">
        <f t="shared" si="60"/>
        <v>-0.44443442325006655</v>
      </c>
      <c r="R71">
        <f t="shared" si="13"/>
        <v>0.39068484370111783</v>
      </c>
      <c r="S71">
        <f t="shared" si="61"/>
        <v>-5.4683487088244387E-2</v>
      </c>
      <c r="T71">
        <f t="shared" si="15"/>
        <v>0.48633253385838304</v>
      </c>
      <c r="U71">
        <f t="shared" si="62"/>
        <v>7.2460475111872258E-2</v>
      </c>
      <c r="V71">
        <f t="shared" si="63"/>
        <v>0.12684045822475842</v>
      </c>
      <c r="W71" s="3">
        <f t="shared" si="64"/>
        <v>0.19930093333663068</v>
      </c>
      <c r="X71" s="2">
        <f t="shared" si="65"/>
        <v>-9.5093814998634726E-4</v>
      </c>
      <c r="Y71">
        <f t="shared" si="66"/>
        <v>-1.9018762999726945E-3</v>
      </c>
      <c r="Z71">
        <f t="shared" si="67"/>
        <v>1.4388472255389082E-4</v>
      </c>
      <c r="AA71">
        <f t="shared" si="68"/>
        <v>2.8776944510778164E-4</v>
      </c>
      <c r="AB71" s="1">
        <f t="shared" si="69"/>
        <v>4.6797006226477589E-2</v>
      </c>
      <c r="AC71" s="1">
        <f t="shared" si="70"/>
        <v>4.6660760535386703E-2</v>
      </c>
      <c r="AD71" s="1">
        <f t="shared" si="71"/>
        <v>-6.4974541234146629E-2</v>
      </c>
      <c r="AE71" s="1">
        <f t="shared" si="72"/>
        <v>-6.4785373123030343E-2</v>
      </c>
    </row>
    <row r="72" spans="1:31" x14ac:dyDescent="0.2">
      <c r="A72">
        <v>0.01</v>
      </c>
      <c r="B72">
        <v>0.99</v>
      </c>
      <c r="C72">
        <v>0.05</v>
      </c>
      <c r="D72">
        <v>0.1</v>
      </c>
      <c r="E72" s="2">
        <f t="shared" si="50"/>
        <v>0.30254556489212081</v>
      </c>
      <c r="F72">
        <f t="shared" si="51"/>
        <v>0.50509112978424164</v>
      </c>
      <c r="G72">
        <f t="shared" si="52"/>
        <v>-0.20164269285778424</v>
      </c>
      <c r="H72">
        <f t="shared" si="53"/>
        <v>0.69671461428443138</v>
      </c>
      <c r="I72">
        <f t="shared" si="54"/>
        <v>6.5636391223030208E-2</v>
      </c>
      <c r="J72">
        <f t="shared" si="5"/>
        <v>0.51640320929071615</v>
      </c>
      <c r="K72">
        <f t="shared" si="55"/>
        <v>5.9589326785553932E-2</v>
      </c>
      <c r="L72">
        <f t="shared" si="7"/>
        <v>0.51489292503160844</v>
      </c>
      <c r="M72">
        <f t="shared" si="56"/>
        <v>-8.6380313675878326E-2</v>
      </c>
      <c r="N72">
        <f t="shared" si="57"/>
        <v>-0.78588432174499401</v>
      </c>
      <c r="O72">
        <f t="shared" si="58"/>
        <v>0.55292533683351719</v>
      </c>
      <c r="P72">
        <f t="shared" si="59"/>
        <v>-0.64774829520578758</v>
      </c>
      <c r="Q72">
        <f t="shared" si="60"/>
        <v>-0.44925334836152397</v>
      </c>
      <c r="R72">
        <f t="shared" si="13"/>
        <v>0.38953830382572197</v>
      </c>
      <c r="S72">
        <f t="shared" si="61"/>
        <v>-4.7988595963767311E-2</v>
      </c>
      <c r="T72">
        <f t="shared" si="15"/>
        <v>0.48800515283717932</v>
      </c>
      <c r="U72">
        <f t="shared" si="62"/>
        <v>7.2024662035453019E-2</v>
      </c>
      <c r="V72">
        <f t="shared" si="63"/>
        <v>0.12599941328901182</v>
      </c>
      <c r="W72" s="3">
        <f t="shared" si="64"/>
        <v>0.19802407532446484</v>
      </c>
      <c r="X72" s="2">
        <f t="shared" si="65"/>
        <v>-9.6330724585930215E-4</v>
      </c>
      <c r="Y72">
        <f t="shared" si="66"/>
        <v>-1.9266144917186043E-3</v>
      </c>
      <c r="Z72">
        <f t="shared" si="67"/>
        <v>1.2883507307163706E-4</v>
      </c>
      <c r="AA72">
        <f t="shared" si="68"/>
        <v>2.5767014614327412E-4</v>
      </c>
      <c r="AB72" s="1">
        <f t="shared" si="69"/>
        <v>4.660721288896754E-2</v>
      </c>
      <c r="AC72" s="1">
        <f t="shared" si="70"/>
        <v>4.6470904402264354E-2</v>
      </c>
      <c r="AD72" s="1">
        <f t="shared" si="71"/>
        <v>-6.4770640210366104E-2</v>
      </c>
      <c r="AE72" s="1">
        <f t="shared" si="72"/>
        <v>-6.4581210561978755E-2</v>
      </c>
    </row>
    <row r="73" spans="1:31" x14ac:dyDescent="0.2">
      <c r="A73">
        <v>0.01</v>
      </c>
      <c r="B73">
        <v>0.99</v>
      </c>
      <c r="C73">
        <v>0.05</v>
      </c>
      <c r="D73">
        <v>0.1</v>
      </c>
      <c r="E73" s="2">
        <f t="shared" si="50"/>
        <v>0.30264189561670674</v>
      </c>
      <c r="F73">
        <f t="shared" si="51"/>
        <v>0.50528379123341349</v>
      </c>
      <c r="G73">
        <f t="shared" si="52"/>
        <v>-0.2016555763650914</v>
      </c>
      <c r="H73">
        <f t="shared" si="53"/>
        <v>0.69668884726981706</v>
      </c>
      <c r="I73">
        <f t="shared" si="54"/>
        <v>6.5660473904176689E-2</v>
      </c>
      <c r="J73">
        <f t="shared" si="5"/>
        <v>0.51640922347881335</v>
      </c>
      <c r="K73">
        <f t="shared" si="55"/>
        <v>5.9586105908727142E-2</v>
      </c>
      <c r="L73">
        <f t="shared" si="7"/>
        <v>0.51489212052675115</v>
      </c>
      <c r="M73">
        <f t="shared" si="56"/>
        <v>-9.1041034964775086E-2</v>
      </c>
      <c r="N73">
        <f t="shared" si="57"/>
        <v>-0.79053141218522049</v>
      </c>
      <c r="O73">
        <f t="shared" si="58"/>
        <v>0.55940240085455384</v>
      </c>
      <c r="P73">
        <f t="shared" si="59"/>
        <v>-0.64129017414958966</v>
      </c>
      <c r="Q73">
        <f t="shared" si="60"/>
        <v>-0.45405282533392233</v>
      </c>
      <c r="R73">
        <f t="shared" si="13"/>
        <v>0.38839760371646892</v>
      </c>
      <c r="S73">
        <f t="shared" si="61"/>
        <v>-4.131469820336775E-2</v>
      </c>
      <c r="T73">
        <f t="shared" si="15"/>
        <v>0.48967279437000089</v>
      </c>
      <c r="U73">
        <f t="shared" si="62"/>
        <v>7.1592373249182925E-2</v>
      </c>
      <c r="V73">
        <f t="shared" si="63"/>
        <v>0.12516365634676171</v>
      </c>
      <c r="W73" s="3">
        <f t="shared" si="64"/>
        <v>0.19675602959594463</v>
      </c>
      <c r="X73" s="2">
        <f t="shared" si="65"/>
        <v>-9.7550523623788829E-4</v>
      </c>
      <c r="Y73">
        <f t="shared" si="66"/>
        <v>-1.9510104724757766E-3</v>
      </c>
      <c r="Z73">
        <f t="shared" si="67"/>
        <v>1.1391722713723239E-4</v>
      </c>
      <c r="AA73">
        <f t="shared" si="68"/>
        <v>2.2783445427446478E-4</v>
      </c>
      <c r="AB73" s="1">
        <f t="shared" si="69"/>
        <v>4.6418177841502935E-2</v>
      </c>
      <c r="AC73" s="1">
        <f t="shared" si="70"/>
        <v>4.6281810883999158E-2</v>
      </c>
      <c r="AD73" s="1">
        <f t="shared" si="71"/>
        <v>-6.4565840089592291E-2</v>
      </c>
      <c r="AE73" s="1">
        <f t="shared" si="72"/>
        <v>-6.4376159072776926E-2</v>
      </c>
    </row>
    <row r="74" spans="1:31" x14ac:dyDescent="0.2">
      <c r="A74">
        <v>0.01</v>
      </c>
      <c r="B74">
        <v>0.99</v>
      </c>
      <c r="C74">
        <v>0.05</v>
      </c>
      <c r="D74">
        <v>0.1</v>
      </c>
      <c r="E74" s="2">
        <f t="shared" si="50"/>
        <v>0.30273944614033055</v>
      </c>
      <c r="F74">
        <f t="shared" si="51"/>
        <v>0.50547889228066112</v>
      </c>
      <c r="G74">
        <f t="shared" si="52"/>
        <v>-0.20166696808780513</v>
      </c>
      <c r="H74">
        <f t="shared" si="53"/>
        <v>0.69666606382438956</v>
      </c>
      <c r="I74">
        <f t="shared" si="54"/>
        <v>6.5684861535082642E-2</v>
      </c>
      <c r="J74">
        <f t="shared" si="5"/>
        <v>0.516415313817425</v>
      </c>
      <c r="K74">
        <f t="shared" si="55"/>
        <v>5.9583257978048705E-2</v>
      </c>
      <c r="L74">
        <f t="shared" si="7"/>
        <v>0.5148914091756519</v>
      </c>
      <c r="M74">
        <f t="shared" si="56"/>
        <v>-9.5682852748925379E-2</v>
      </c>
      <c r="N74">
        <f t="shared" si="57"/>
        <v>-0.7951595932736204</v>
      </c>
      <c r="O74">
        <f t="shared" si="58"/>
        <v>0.56585898486351305</v>
      </c>
      <c r="P74">
        <f t="shared" si="59"/>
        <v>-0.63485255824231202</v>
      </c>
      <c r="Q74">
        <f t="shared" si="60"/>
        <v>-0.45883293392947544</v>
      </c>
      <c r="R74">
        <f t="shared" si="13"/>
        <v>0.38726272086225572</v>
      </c>
      <c r="S74">
        <f t="shared" si="61"/>
        <v>-3.4661883087450995E-2</v>
      </c>
      <c r="T74">
        <f t="shared" si="15"/>
        <v>0.49133539671528048</v>
      </c>
      <c r="U74">
        <f t="shared" si="62"/>
        <v>7.1163580276196139E-2</v>
      </c>
      <c r="V74">
        <f t="shared" si="63"/>
        <v>0.12433319328455335</v>
      </c>
      <c r="W74" s="3">
        <f t="shared" si="64"/>
        <v>0.19549677356074949</v>
      </c>
      <c r="X74" s="2">
        <f t="shared" si="65"/>
        <v>-9.8753295743577644E-4</v>
      </c>
      <c r="Y74">
        <f t="shared" si="66"/>
        <v>-1.9750659148715529E-3</v>
      </c>
      <c r="Z74">
        <f t="shared" si="67"/>
        <v>9.9131308375948458E-5</v>
      </c>
      <c r="AA74">
        <f t="shared" si="68"/>
        <v>1.9826261675189692E-4</v>
      </c>
      <c r="AB74" s="1">
        <f t="shared" si="69"/>
        <v>4.6229905020160979E-2</v>
      </c>
      <c r="AC74" s="1">
        <f t="shared" si="70"/>
        <v>4.609348387817707E-2</v>
      </c>
      <c r="AD74" s="1">
        <f t="shared" si="71"/>
        <v>-6.4360176141905284E-2</v>
      </c>
      <c r="AE74" s="1">
        <f t="shared" si="72"/>
        <v>-6.4170253867054494E-2</v>
      </c>
    </row>
    <row r="75" spans="1:31" x14ac:dyDescent="0.2">
      <c r="A75">
        <v>0.01</v>
      </c>
      <c r="B75">
        <v>0.99</v>
      </c>
      <c r="C75">
        <v>0.05</v>
      </c>
      <c r="D75">
        <v>0.1</v>
      </c>
      <c r="E75" s="2">
        <f t="shared" si="50"/>
        <v>0.30283819943607415</v>
      </c>
      <c r="F75">
        <f t="shared" si="51"/>
        <v>0.50567639887214832</v>
      </c>
      <c r="G75">
        <f t="shared" si="52"/>
        <v>-0.20167688121864272</v>
      </c>
      <c r="H75">
        <f t="shared" si="53"/>
        <v>0.69664623756271438</v>
      </c>
      <c r="I75">
        <f t="shared" si="54"/>
        <v>6.5709549859018543E-2</v>
      </c>
      <c r="J75">
        <f t="shared" si="5"/>
        <v>0.51642147924333193</v>
      </c>
      <c r="K75">
        <f t="shared" si="55"/>
        <v>5.9580779695339307E-2</v>
      </c>
      <c r="L75">
        <f t="shared" si="7"/>
        <v>0.51489079015452099</v>
      </c>
      <c r="M75">
        <f t="shared" si="56"/>
        <v>-0.10030584325094148</v>
      </c>
      <c r="N75">
        <f t="shared" si="57"/>
        <v>-0.79976894166143808</v>
      </c>
      <c r="O75">
        <f t="shared" si="58"/>
        <v>0.5722950024777036</v>
      </c>
      <c r="P75">
        <f t="shared" si="59"/>
        <v>-0.6284355328556066</v>
      </c>
      <c r="Q75">
        <f t="shared" si="60"/>
        <v>-0.46359375426150384</v>
      </c>
      <c r="R75">
        <f t="shared" si="13"/>
        <v>0.38613363248846427</v>
      </c>
      <c r="S75">
        <f t="shared" si="61"/>
        <v>-2.8030236330098712E-2</v>
      </c>
      <c r="T75">
        <f t="shared" si="15"/>
        <v>0.49299289969794319</v>
      </c>
      <c r="U75">
        <f t="shared" si="62"/>
        <v>7.0738254744483545E-2</v>
      </c>
      <c r="V75">
        <f t="shared" si="63"/>
        <v>0.12350802887532937</v>
      </c>
      <c r="W75" s="3">
        <f t="shared" si="64"/>
        <v>0.19424628361981292</v>
      </c>
      <c r="X75" s="2">
        <f t="shared" si="65"/>
        <v>-9.9939127230525503E-4</v>
      </c>
      <c r="Y75">
        <f t="shared" si="66"/>
        <v>-1.9987825446105101E-3</v>
      </c>
      <c r="Z75">
        <f t="shared" si="67"/>
        <v>8.447740962679773E-5</v>
      </c>
      <c r="AA75">
        <f t="shared" si="68"/>
        <v>1.6895481925359546E-4</v>
      </c>
      <c r="AB75" s="1">
        <f t="shared" si="69"/>
        <v>4.6042398147293405E-2</v>
      </c>
      <c r="AC75" s="1">
        <f t="shared" si="70"/>
        <v>4.5905927068340582E-2</v>
      </c>
      <c r="AD75" s="1">
        <f t="shared" si="71"/>
        <v>-6.4153683364612038E-2</v>
      </c>
      <c r="AE75" s="1">
        <f t="shared" si="72"/>
        <v>-6.3963529881303938E-2</v>
      </c>
    </row>
    <row r="76" spans="1:31" x14ac:dyDescent="0.2">
      <c r="A76">
        <v>0.01</v>
      </c>
      <c r="B76">
        <v>0.99</v>
      </c>
      <c r="C76">
        <v>0.05</v>
      </c>
      <c r="D76">
        <v>0.1</v>
      </c>
      <c r="E76" s="2">
        <f t="shared" si="50"/>
        <v>0.3029381385633047</v>
      </c>
      <c r="F76">
        <f t="shared" si="51"/>
        <v>0.50587627712660943</v>
      </c>
      <c r="G76">
        <f t="shared" si="52"/>
        <v>-0.20168532895960539</v>
      </c>
      <c r="H76">
        <f t="shared" si="53"/>
        <v>0.69662934208078897</v>
      </c>
      <c r="I76">
        <f t="shared" si="54"/>
        <v>6.5734534640826181E-2</v>
      </c>
      <c r="J76">
        <f t="shared" si="5"/>
        <v>0.51642771869870285</v>
      </c>
      <c r="K76">
        <f t="shared" si="55"/>
        <v>5.9578667760098625E-2</v>
      </c>
      <c r="L76">
        <f t="shared" si="7"/>
        <v>0.51489026263898552</v>
      </c>
      <c r="M76">
        <f t="shared" si="56"/>
        <v>-0.10491008306567082</v>
      </c>
      <c r="N76">
        <f t="shared" si="57"/>
        <v>-0.80435953436827212</v>
      </c>
      <c r="O76">
        <f t="shared" si="58"/>
        <v>0.57871037081416477</v>
      </c>
      <c r="P76">
        <f t="shared" si="59"/>
        <v>-0.62203917986747626</v>
      </c>
      <c r="Q76">
        <f t="shared" si="60"/>
        <v>-0.46833536677314752</v>
      </c>
      <c r="R76">
        <f t="shared" si="13"/>
        <v>0.3850103155678673</v>
      </c>
      <c r="S76">
        <f t="shared" si="61"/>
        <v>-2.1419840106864485E-2</v>
      </c>
      <c r="T76">
        <f t="shared" si="15"/>
        <v>0.49464524470612403</v>
      </c>
      <c r="U76">
        <f t="shared" si="62"/>
        <v>7.0316368391155709E-2</v>
      </c>
      <c r="V76">
        <f t="shared" si="63"/>
        <v>0.12268816679612786</v>
      </c>
      <c r="W76" s="3">
        <f t="shared" si="64"/>
        <v>0.19300453518728355</v>
      </c>
      <c r="X76" s="2">
        <f t="shared" si="65"/>
        <v>-1.011081069428491E-3</v>
      </c>
      <c r="Y76">
        <f t="shared" si="66"/>
        <v>-2.022162138856982E-3</v>
      </c>
      <c r="Z76">
        <f t="shared" si="67"/>
        <v>6.9955593344931839E-5</v>
      </c>
      <c r="AA76">
        <f t="shared" si="68"/>
        <v>1.3991118668986368E-4</v>
      </c>
      <c r="AB76" s="1">
        <f t="shared" si="69"/>
        <v>4.5855660735987715E-2</v>
      </c>
      <c r="AC76" s="1">
        <f t="shared" si="70"/>
        <v>4.5719143928469062E-2</v>
      </c>
      <c r="AD76" s="1">
        <f t="shared" si="71"/>
        <v>-6.3946396470948005E-2</v>
      </c>
      <c r="AE76" s="1">
        <f t="shared" si="72"/>
        <v>-6.3756021765657048E-2</v>
      </c>
    </row>
    <row r="77" spans="1:31" x14ac:dyDescent="0.2">
      <c r="A77">
        <v>0.01</v>
      </c>
      <c r="B77">
        <v>0.99</v>
      </c>
      <c r="C77">
        <v>0.05</v>
      </c>
      <c r="D77">
        <v>0.1</v>
      </c>
      <c r="E77" s="2">
        <f t="shared" ref="E77:E105" si="73">E76-$F$33*X76</f>
        <v>0.30303924667024756</v>
      </c>
      <c r="F77">
        <f t="shared" ref="F77:F105" si="74">F76-$F$33*Y76</f>
        <v>0.50607849334049515</v>
      </c>
      <c r="G77">
        <f t="shared" ref="G77:G105" si="75">G76-$F$33*Z76</f>
        <v>-0.2016923245189399</v>
      </c>
      <c r="H77">
        <f t="shared" ref="H77:H105" si="76">H76-$F$33*AA76</f>
        <v>0.69661535096212002</v>
      </c>
      <c r="I77">
        <f t="shared" ref="I77:I105" si="77">E77*C77+F77*D77</f>
        <v>6.5759811667561896E-2</v>
      </c>
      <c r="J77">
        <f t="shared" si="5"/>
        <v>0.51643403113125552</v>
      </c>
      <c r="K77">
        <f t="shared" ref="K77:K105" si="78">G77*C77+H77*D77</f>
        <v>5.9576918870265012E-2</v>
      </c>
      <c r="L77">
        <f t="shared" si="7"/>
        <v>0.51488982580427944</v>
      </c>
      <c r="M77">
        <f t="shared" ref="M77:M105" si="79">M76-$F$33*AB76</f>
        <v>-0.10949564913926958</v>
      </c>
      <c r="N77">
        <f t="shared" ref="N77:N105" si="80">N76-$F$33*AC76</f>
        <v>-0.808931448761119</v>
      </c>
      <c r="O77">
        <f t="shared" ref="O77:O105" si="81">O76-$F$33*AD76</f>
        <v>0.58510501046125951</v>
      </c>
      <c r="P77">
        <f t="shared" ref="P77:P105" si="82">P76-$F$33*AE76</f>
        <v>-0.61566357769091051</v>
      </c>
      <c r="Q77">
        <f t="shared" ref="Q77:Q105" si="83">M77*J77+N77*L77</f>
        <v>-0.47305785221654256</v>
      </c>
      <c r="R77">
        <f t="shared" si="13"/>
        <v>0.38389274683131902</v>
      </c>
      <c r="S77">
        <f t="shared" ref="S77:S105" si="84">O77*J77+P77*L77</f>
        <v>-1.4830773083708726E-2</v>
      </c>
      <c r="T77">
        <f t="shared" si="15"/>
        <v>0.49629237468707149</v>
      </c>
      <c r="U77">
        <f t="shared" ref="U77:U105" si="85">1/2*(A77-R77)^2</f>
        <v>6.9897893066534406E-2</v>
      </c>
      <c r="V77">
        <f t="shared" ref="V77:V105" si="86">1/2*(B77-T77)^2</f>
        <v>0.1218736096460655</v>
      </c>
      <c r="W77" s="3">
        <f t="shared" ref="W77:W105" si="87">SUM(U77:V77)</f>
        <v>0.19177150271259991</v>
      </c>
      <c r="X77" s="2">
        <f t="shared" ref="X77:X105" si="88">((R77-A77)*R77*(1-R77)*M77+(T77-B77)*T77*(1-T77)*O77)*J77*(1-J77)*C77</f>
        <v>-1.0226032623089746E-3</v>
      </c>
      <c r="Y77">
        <f t="shared" ref="Y77:Y105" si="89">((R77-A77)*R77*(1-R77)*M77+(T77-B77)*T77*(1-T77)*O77)*J77*(1-J77)*D77</f>
        <v>-2.0452065246179493E-3</v>
      </c>
      <c r="Z77">
        <f t="shared" ref="Z77:Z105" si="90">((R77-A77)*R77*(1-R77)*N77+(T77-B77)*T77*(1-T77)*P77)*L77*(1-L77)*C77</f>
        <v>5.5565892017714197E-5</v>
      </c>
      <c r="AA77">
        <f t="shared" ref="AA77:AA105" si="91">((R77-A77)*R77*(1-R77)*N77+(T77-B77)*T77*(1-T77)*P77)*L77*(1-L77)*D77</f>
        <v>1.1113178403542839E-4</v>
      </c>
      <c r="AB77" s="1">
        <f t="shared" ref="AB77:AB105" si="92">(R77-A77)*R77*(1-R77)*J77</f>
        <v>4.5669696094483597E-2</v>
      </c>
      <c r="AC77" s="1">
        <f t="shared" ref="AC77:AC105" si="93">(R77-A77)*R77*(1-R77)*L77</f>
        <v>4.553313772741395E-2</v>
      </c>
      <c r="AD77" s="1">
        <f t="shared" ref="AD77:AD105" si="94">(T77-B77)*T77*(1-T77)*J77</f>
        <v>-6.3738349879228523E-2</v>
      </c>
      <c r="AE77" s="1">
        <f t="shared" ref="AE77:AE105" si="95">(T77-B77)*T77*(1-T77)*L77</f>
        <v>-6.354776387311159E-2</v>
      </c>
    </row>
    <row r="78" spans="1:31" x14ac:dyDescent="0.2">
      <c r="A78">
        <v>0.01</v>
      </c>
      <c r="B78">
        <v>0.99</v>
      </c>
      <c r="C78">
        <v>0.05</v>
      </c>
      <c r="D78">
        <v>0.1</v>
      </c>
      <c r="E78" s="2">
        <f t="shared" si="73"/>
        <v>0.30314150699647846</v>
      </c>
      <c r="F78">
        <f t="shared" si="74"/>
        <v>0.50628301399295694</v>
      </c>
      <c r="G78">
        <f t="shared" si="75"/>
        <v>-0.20169788110814166</v>
      </c>
      <c r="H78">
        <f t="shared" si="76"/>
        <v>0.6966042377837165</v>
      </c>
      <c r="I78">
        <f t="shared" si="77"/>
        <v>6.578537674911962E-2</v>
      </c>
      <c r="J78">
        <f t="shared" si="5"/>
        <v>0.516440415494412</v>
      </c>
      <c r="K78">
        <f t="shared" si="78"/>
        <v>5.9575529722964572E-2</v>
      </c>
      <c r="L78">
        <f t="shared" si="7"/>
        <v>0.51488947882543068</v>
      </c>
      <c r="M78">
        <f t="shared" si="79"/>
        <v>-0.11406261874871794</v>
      </c>
      <c r="N78">
        <f t="shared" si="80"/>
        <v>-0.81348476253386037</v>
      </c>
      <c r="O78">
        <f t="shared" si="81"/>
        <v>0.59147884544918239</v>
      </c>
      <c r="P78">
        <f t="shared" si="82"/>
        <v>-0.60930880130359932</v>
      </c>
      <c r="Q78">
        <f t="shared" si="83"/>
        <v>-0.47776129163245717</v>
      </c>
      <c r="R78">
        <f t="shared" si="13"/>
        <v>0.38278090277823057</v>
      </c>
      <c r="S78">
        <f t="shared" si="84"/>
        <v>-8.263110447027322E-3</v>
      </c>
      <c r="T78">
        <f t="shared" si="15"/>
        <v>0.4979342341422644</v>
      </c>
      <c r="U78">
        <f t="shared" si="85"/>
        <v>6.9482800738076292E-2</v>
      </c>
      <c r="V78">
        <f t="shared" si="86"/>
        <v>0.12106435896457993</v>
      </c>
      <c r="W78" s="3">
        <f t="shared" si="87"/>
        <v>0.19054715970265623</v>
      </c>
      <c r="X78" s="2">
        <f t="shared" si="88"/>
        <v>-1.0339587885638607E-3</v>
      </c>
      <c r="Y78">
        <f t="shared" si="89"/>
        <v>-2.0679175771277213E-3</v>
      </c>
      <c r="Z78">
        <f t="shared" si="90"/>
        <v>4.130830859372927E-5</v>
      </c>
      <c r="AA78">
        <f t="shared" si="91"/>
        <v>8.261661718745854E-5</v>
      </c>
      <c r="AB78" s="1">
        <f t="shared" si="92"/>
        <v>4.5484507330543565E-2</v>
      </c>
      <c r="AC78" s="1">
        <f t="shared" si="93"/>
        <v>4.5347911533287932E-2</v>
      </c>
      <c r="AD78" s="1">
        <f t="shared" si="94"/>
        <v>-6.352957770244809E-2</v>
      </c>
      <c r="AE78" s="1">
        <f t="shared" si="95"/>
        <v>-6.333879024920569E-2</v>
      </c>
    </row>
    <row r="79" spans="1:31" x14ac:dyDescent="0.2">
      <c r="A79">
        <v>0.01</v>
      </c>
      <c r="B79">
        <v>0.99</v>
      </c>
      <c r="C79">
        <v>0.05</v>
      </c>
      <c r="D79">
        <v>0.1</v>
      </c>
      <c r="E79" s="2">
        <f t="shared" si="73"/>
        <v>0.30324490287533484</v>
      </c>
      <c r="F79">
        <f t="shared" si="74"/>
        <v>0.50648980575066971</v>
      </c>
      <c r="G79">
        <f t="shared" si="75"/>
        <v>-0.20170201193900103</v>
      </c>
      <c r="H79">
        <f t="shared" si="76"/>
        <v>0.69659597612199775</v>
      </c>
      <c r="I79">
        <f t="shared" si="77"/>
        <v>6.5811225718833716E-2</v>
      </c>
      <c r="J79">
        <f t="shared" si="5"/>
        <v>0.51644687074744966</v>
      </c>
      <c r="K79">
        <f t="shared" si="78"/>
        <v>5.9574497015249729E-2</v>
      </c>
      <c r="L79">
        <f t="shared" si="7"/>
        <v>0.51488922087744582</v>
      </c>
      <c r="M79">
        <f t="shared" si="79"/>
        <v>-0.1186110694817723</v>
      </c>
      <c r="N79">
        <f t="shared" si="80"/>
        <v>-0.81801955368718915</v>
      </c>
      <c r="O79">
        <f t="shared" si="81"/>
        <v>0.59783180321942719</v>
      </c>
      <c r="P79">
        <f t="shared" si="82"/>
        <v>-0.60297492227867877</v>
      </c>
      <c r="Q79">
        <f t="shared" si="83"/>
        <v>-0.48244576633038239</v>
      </c>
      <c r="R79">
        <f t="shared" si="13"/>
        <v>0.38167475968683345</v>
      </c>
      <c r="S79">
        <f t="shared" si="84"/>
        <v>-1.7169239347291088E-3</v>
      </c>
      <c r="T79">
        <f t="shared" si="15"/>
        <v>0.49957076912175924</v>
      </c>
      <c r="U79">
        <f t="shared" si="85"/>
        <v>6.9071063494132695E-2</v>
      </c>
      <c r="V79">
        <f t="shared" si="86"/>
        <v>0.12026041524991139</v>
      </c>
      <c r="W79" s="3">
        <f t="shared" si="87"/>
        <v>0.1893314787440441</v>
      </c>
      <c r="X79" s="2">
        <f t="shared" si="88"/>
        <v>-1.0451486091179072E-3</v>
      </c>
      <c r="Y79">
        <f t="shared" si="89"/>
        <v>-2.0902972182358145E-3</v>
      </c>
      <c r="Z79">
        <f t="shared" si="90"/>
        <v>2.7182816924022747E-5</v>
      </c>
      <c r="AA79">
        <f t="shared" si="91"/>
        <v>5.4365633848045494E-5</v>
      </c>
      <c r="AB79" s="1">
        <f t="shared" si="92"/>
        <v>4.5300097355776281E-2</v>
      </c>
      <c r="AC79" s="1">
        <f t="shared" si="93"/>
        <v>4.5163468217806556E-2</v>
      </c>
      <c r="AD79" s="1">
        <f t="shared" si="94"/>
        <v>-6.3320113738327161E-2</v>
      </c>
      <c r="AE79" s="1">
        <f t="shared" si="95"/>
        <v>-6.312913462213969E-2</v>
      </c>
    </row>
    <row r="80" spans="1:31" x14ac:dyDescent="0.2">
      <c r="A80">
        <v>0.01</v>
      </c>
      <c r="B80">
        <v>0.99</v>
      </c>
      <c r="C80">
        <v>0.05</v>
      </c>
      <c r="D80">
        <v>0.1</v>
      </c>
      <c r="E80" s="2">
        <f t="shared" si="73"/>
        <v>0.30334941773624663</v>
      </c>
      <c r="F80">
        <f t="shared" si="74"/>
        <v>0.50669883547249328</v>
      </c>
      <c r="G80">
        <f t="shared" si="75"/>
        <v>-0.20170473022069343</v>
      </c>
      <c r="H80">
        <f t="shared" si="76"/>
        <v>0.69659053955861294</v>
      </c>
      <c r="I80">
        <f t="shared" si="77"/>
        <v>6.5837354434061662E-2</v>
      </c>
      <c r="J80">
        <f t="shared" si="5"/>
        <v>0.51645339585564631</v>
      </c>
      <c r="K80">
        <f t="shared" si="78"/>
        <v>5.9573817444826621E-2</v>
      </c>
      <c r="L80">
        <f t="shared" si="7"/>
        <v>0.51488905113549155</v>
      </c>
      <c r="M80">
        <f t="shared" si="79"/>
        <v>-0.12314107921734993</v>
      </c>
      <c r="N80">
        <f t="shared" si="80"/>
        <v>-0.82253590050896985</v>
      </c>
      <c r="O80">
        <f t="shared" si="81"/>
        <v>0.60416381459325996</v>
      </c>
      <c r="P80">
        <f t="shared" si="82"/>
        <v>-0.59666200881646481</v>
      </c>
      <c r="Q80">
        <f t="shared" si="83"/>
        <v>-0.48711135786907006</v>
      </c>
      <c r="R80">
        <f t="shared" si="13"/>
        <v>0.38057429362423184</v>
      </c>
      <c r="S80">
        <f t="shared" si="84"/>
        <v>4.8077181316843465E-3</v>
      </c>
      <c r="T80">
        <f t="shared" si="15"/>
        <v>0.50120192721779444</v>
      </c>
      <c r="U80">
        <f t="shared" si="85"/>
        <v>6.8662653547549191E-2</v>
      </c>
      <c r="V80">
        <f t="shared" si="86"/>
        <v>0.11946177797779915</v>
      </c>
      <c r="W80" s="3">
        <f t="shared" si="87"/>
        <v>0.18812443152534836</v>
      </c>
      <c r="X80" s="2">
        <f t="shared" si="88"/>
        <v>-1.0561737073997125E-3</v>
      </c>
      <c r="Y80">
        <f t="shared" si="89"/>
        <v>-2.1123474147994249E-3</v>
      </c>
      <c r="Z80">
        <f t="shared" si="90"/>
        <v>1.3189362214850777E-5</v>
      </c>
      <c r="AA80">
        <f t="shared" si="91"/>
        <v>2.6378724429701553E-5</v>
      </c>
      <c r="AB80" s="1">
        <f t="shared" si="92"/>
        <v>4.511646888991195E-2</v>
      </c>
      <c r="AC80" s="1">
        <f t="shared" si="93"/>
        <v>4.4979810460581596E-2</v>
      </c>
      <c r="AD80" s="1">
        <f t="shared" si="94"/>
        <v>-6.3109991459804296E-2</v>
      </c>
      <c r="AE80" s="1">
        <f t="shared" si="95"/>
        <v>-6.2918830393343325E-2</v>
      </c>
    </row>
    <row r="81" spans="1:31" x14ac:dyDescent="0.2">
      <c r="A81">
        <v>0.01</v>
      </c>
      <c r="B81">
        <v>0.99</v>
      </c>
      <c r="C81">
        <v>0.05</v>
      </c>
      <c r="D81">
        <v>0.1</v>
      </c>
      <c r="E81" s="2">
        <f t="shared" si="73"/>
        <v>0.30345503510698663</v>
      </c>
      <c r="F81">
        <f t="shared" si="74"/>
        <v>0.50691007021397327</v>
      </c>
      <c r="G81">
        <f t="shared" si="75"/>
        <v>-0.20170604915691492</v>
      </c>
      <c r="H81">
        <f t="shared" si="76"/>
        <v>0.69658790168617002</v>
      </c>
      <c r="I81">
        <f t="shared" si="77"/>
        <v>6.5863758776746661E-2</v>
      </c>
      <c r="J81">
        <f t="shared" si="5"/>
        <v>0.51645998979042107</v>
      </c>
      <c r="K81">
        <f t="shared" si="78"/>
        <v>5.9573487710771263E-2</v>
      </c>
      <c r="L81">
        <f t="shared" si="7"/>
        <v>0.51488896877507406</v>
      </c>
      <c r="M81">
        <f t="shared" si="79"/>
        <v>-0.12765272610634112</v>
      </c>
      <c r="N81">
        <f t="shared" si="80"/>
        <v>-0.82703388155502799</v>
      </c>
      <c r="O81">
        <f t="shared" si="81"/>
        <v>0.6104748137392404</v>
      </c>
      <c r="P81">
        <f t="shared" si="82"/>
        <v>-0.59037012577713044</v>
      </c>
      <c r="Q81">
        <f t="shared" si="83"/>
        <v>-0.4917581480375155</v>
      </c>
      <c r="R81">
        <f t="shared" si="13"/>
        <v>0.37947948045624519</v>
      </c>
      <c r="S81">
        <f t="shared" si="84"/>
        <v>1.131075081407984E-2</v>
      </c>
      <c r="T81">
        <f t="shared" si="15"/>
        <v>0.50282765755767156</v>
      </c>
      <c r="U81">
        <f t="shared" si="85"/>
        <v>6.8257543239108431E-2</v>
      </c>
      <c r="V81">
        <f t="shared" si="86"/>
        <v>0.11866844562037265</v>
      </c>
      <c r="W81" s="3">
        <f t="shared" si="87"/>
        <v>0.18692598885948108</v>
      </c>
      <c r="X81" s="2">
        <f t="shared" si="88"/>
        <v>-1.0670350885408934E-3</v>
      </c>
      <c r="Y81">
        <f t="shared" si="89"/>
        <v>-2.1340701770817868E-3</v>
      </c>
      <c r="Z81">
        <f t="shared" si="90"/>
        <v>-6.7213850877384954E-7</v>
      </c>
      <c r="AA81">
        <f t="shared" si="91"/>
        <v>-1.3442770175476991E-6</v>
      </c>
      <c r="AB81" s="1">
        <f t="shared" si="92"/>
        <v>4.4933624465028466E-2</v>
      </c>
      <c r="AC81" s="1">
        <f t="shared" si="93"/>
        <v>4.4796940753364926E-2</v>
      </c>
      <c r="AD81" s="1">
        <f t="shared" si="94"/>
        <v>-6.2899244005971466E-2</v>
      </c>
      <c r="AE81" s="1">
        <f t="shared" si="95"/>
        <v>-6.2707910628485783E-2</v>
      </c>
    </row>
    <row r="82" spans="1:31" x14ac:dyDescent="0.2">
      <c r="A82">
        <v>0.01</v>
      </c>
      <c r="B82">
        <v>0.99</v>
      </c>
      <c r="C82">
        <v>0.05</v>
      </c>
      <c r="D82">
        <v>0.1</v>
      </c>
      <c r="E82" s="2">
        <f t="shared" si="73"/>
        <v>0.30356173861584074</v>
      </c>
      <c r="F82">
        <f t="shared" si="74"/>
        <v>0.5071234772316815</v>
      </c>
      <c r="G82">
        <f t="shared" si="75"/>
        <v>-0.20170598194306405</v>
      </c>
      <c r="H82">
        <f t="shared" si="76"/>
        <v>0.69658803611387177</v>
      </c>
      <c r="I82">
        <f t="shared" si="77"/>
        <v>6.5890434653960189E-2</v>
      </c>
      <c r="J82">
        <f t="shared" si="5"/>
        <v>0.51646665152946991</v>
      </c>
      <c r="K82">
        <f t="shared" si="78"/>
        <v>5.9573504514233981E-2</v>
      </c>
      <c r="L82">
        <f t="shared" si="7"/>
        <v>0.5148889729722147</v>
      </c>
      <c r="M82">
        <f t="shared" si="79"/>
        <v>-0.13214608855284396</v>
      </c>
      <c r="N82">
        <f t="shared" si="80"/>
        <v>-0.83151357563036443</v>
      </c>
      <c r="O82">
        <f t="shared" si="81"/>
        <v>0.61676473813983757</v>
      </c>
      <c r="P82">
        <f t="shared" si="82"/>
        <v>-0.58409933471428188</v>
      </c>
      <c r="Q82">
        <f t="shared" si="83"/>
        <v>-0.49638621883637646</v>
      </c>
      <c r="R82">
        <f t="shared" si="13"/>
        <v>0.37839029585704431</v>
      </c>
      <c r="S82">
        <f t="shared" si="84"/>
        <v>1.7792112523741799E-2</v>
      </c>
      <c r="T82">
        <f t="shared" si="15"/>
        <v>0.50444791079593898</v>
      </c>
      <c r="U82">
        <f t="shared" si="85"/>
        <v>6.7855705040820322E-2</v>
      </c>
      <c r="V82">
        <f t="shared" si="86"/>
        <v>0.11788041566521421</v>
      </c>
      <c r="W82" s="3">
        <f t="shared" si="87"/>
        <v>0.18573612070603451</v>
      </c>
      <c r="X82" s="2">
        <f t="shared" si="88"/>
        <v>-1.0777337785788669E-3</v>
      </c>
      <c r="Y82">
        <f t="shared" si="89"/>
        <v>-2.1554675571577339E-3</v>
      </c>
      <c r="Z82">
        <f t="shared" si="90"/>
        <v>-1.440179592945548E-5</v>
      </c>
      <c r="AA82">
        <f t="shared" si="91"/>
        <v>-2.880359185891096E-5</v>
      </c>
      <c r="AB82" s="1">
        <f t="shared" si="92"/>
        <v>4.4751566429727704E-2</v>
      </c>
      <c r="AC82" s="1">
        <f t="shared" si="93"/>
        <v>4.4614861404242166E-2</v>
      </c>
      <c r="AD82" s="1">
        <f t="shared" si="94"/>
        <v>-6.2687904173449521E-2</v>
      </c>
      <c r="AE82" s="1">
        <f t="shared" si="95"/>
        <v>-6.2496408048925638E-2</v>
      </c>
    </row>
    <row r="83" spans="1:31" x14ac:dyDescent="0.2">
      <c r="A83">
        <v>0.01</v>
      </c>
      <c r="B83">
        <v>0.99</v>
      </c>
      <c r="C83">
        <v>0.05</v>
      </c>
      <c r="D83">
        <v>0.1</v>
      </c>
      <c r="E83" s="2">
        <f t="shared" si="73"/>
        <v>0.30366951199369863</v>
      </c>
      <c r="F83">
        <f t="shared" si="74"/>
        <v>0.50733902398739728</v>
      </c>
      <c r="G83">
        <f t="shared" si="75"/>
        <v>-0.20170454176347111</v>
      </c>
      <c r="H83">
        <f t="shared" si="76"/>
        <v>0.69659091647305771</v>
      </c>
      <c r="I83">
        <f t="shared" si="77"/>
        <v>6.5917377998424662E-2</v>
      </c>
      <c r="J83">
        <f t="shared" si="5"/>
        <v>0.51647338005689603</v>
      </c>
      <c r="K83">
        <f t="shared" si="78"/>
        <v>5.9573864559132217E-2</v>
      </c>
      <c r="L83">
        <f t="shared" si="7"/>
        <v>0.51488906290362346</v>
      </c>
      <c r="M83">
        <f t="shared" si="79"/>
        <v>-0.13662124519581673</v>
      </c>
      <c r="N83">
        <f t="shared" si="80"/>
        <v>-0.83597506177078862</v>
      </c>
      <c r="O83">
        <f t="shared" si="81"/>
        <v>0.62303352855718253</v>
      </c>
      <c r="P83">
        <f t="shared" si="82"/>
        <v>-0.57784969390938934</v>
      </c>
      <c r="Q83">
        <f t="shared" si="83"/>
        <v>-0.50099565245982547</v>
      </c>
      <c r="R83">
        <f t="shared" si="13"/>
        <v>0.37730671531858129</v>
      </c>
      <c r="S83">
        <f t="shared" si="84"/>
        <v>2.4251744986551582E-2</v>
      </c>
      <c r="T83">
        <f t="shared" si="15"/>
        <v>0.50606263910589888</v>
      </c>
      <c r="U83">
        <f t="shared" si="85"/>
        <v>6.7457111559062657E-2</v>
      </c>
      <c r="V83">
        <f t="shared" si="86"/>
        <v>0.11709768463457373</v>
      </c>
      <c r="W83" s="3">
        <f t="shared" si="87"/>
        <v>0.18455479619363641</v>
      </c>
      <c r="X83" s="2">
        <f t="shared" si="88"/>
        <v>-1.0882708236638425E-3</v>
      </c>
      <c r="Y83">
        <f t="shared" si="89"/>
        <v>-2.1765416473276851E-3</v>
      </c>
      <c r="Z83">
        <f t="shared" si="90"/>
        <v>-2.7999747954404234E-5</v>
      </c>
      <c r="AA83">
        <f t="shared" si="91"/>
        <v>-5.5999495908808467E-5</v>
      </c>
      <c r="AB83" s="1">
        <f t="shared" si="92"/>
        <v>4.4570296953260917E-2</v>
      </c>
      <c r="AC83" s="1">
        <f t="shared" si="93"/>
        <v>4.4433574541775309E-2</v>
      </c>
      <c r="AD83" s="1">
        <f t="shared" si="94"/>
        <v>-6.2476004408200801E-2</v>
      </c>
      <c r="AE83" s="1">
        <f t="shared" si="95"/>
        <v>-6.2284355023597589E-2</v>
      </c>
    </row>
    <row r="84" spans="1:31" x14ac:dyDescent="0.2">
      <c r="A84">
        <v>0.01</v>
      </c>
      <c r="B84">
        <v>0.99</v>
      </c>
      <c r="C84">
        <v>0.05</v>
      </c>
      <c r="D84">
        <v>0.1</v>
      </c>
      <c r="E84" s="2">
        <f t="shared" si="73"/>
        <v>0.303778339076065</v>
      </c>
      <c r="F84">
        <f t="shared" si="74"/>
        <v>0.50755667815213001</v>
      </c>
      <c r="G84">
        <f t="shared" si="75"/>
        <v>-0.20170174178867567</v>
      </c>
      <c r="H84">
        <f t="shared" si="76"/>
        <v>0.69659651642264864</v>
      </c>
      <c r="I84">
        <f t="shared" si="77"/>
        <v>6.5944584769016254E-2</v>
      </c>
      <c r="J84">
        <f t="shared" si="5"/>
        <v>0.51648017436333571</v>
      </c>
      <c r="K84">
        <f t="shared" si="78"/>
        <v>5.9574564552831083E-2</v>
      </c>
      <c r="L84">
        <f t="shared" si="7"/>
        <v>0.5148892377468689</v>
      </c>
      <c r="M84">
        <f t="shared" si="79"/>
        <v>-0.14107827489114283</v>
      </c>
      <c r="N84">
        <f t="shared" si="80"/>
        <v>-0.84041841922496618</v>
      </c>
      <c r="O84">
        <f t="shared" si="81"/>
        <v>0.62928112899800259</v>
      </c>
      <c r="P84">
        <f t="shared" si="82"/>
        <v>-0.5716212584070296</v>
      </c>
      <c r="Q84">
        <f t="shared" si="83"/>
        <v>-0.50558653127782738</v>
      </c>
      <c r="R84">
        <f t="shared" si="13"/>
        <v>0.37622871415981707</v>
      </c>
      <c r="S84">
        <f t="shared" si="84"/>
        <v>3.0689593207343657E-2</v>
      </c>
      <c r="T84">
        <f t="shared" si="15"/>
        <v>0.50767179617046276</v>
      </c>
      <c r="U84">
        <f t="shared" si="85"/>
        <v>6.7061735537576495E-2</v>
      </c>
      <c r="V84">
        <f t="shared" si="86"/>
        <v>0.11632024810471381</v>
      </c>
      <c r="W84" s="3">
        <f t="shared" si="87"/>
        <v>0.1833819836422903</v>
      </c>
      <c r="X84" s="2">
        <f t="shared" si="88"/>
        <v>-1.0986472892706371E-3</v>
      </c>
      <c r="Y84">
        <f t="shared" si="89"/>
        <v>-2.1972945785412742E-3</v>
      </c>
      <c r="Z84">
        <f t="shared" si="90"/>
        <v>-4.1466159223749866E-5</v>
      </c>
      <c r="AA84">
        <f t="shared" si="91"/>
        <v>-8.2932318447499732E-5</v>
      </c>
      <c r="AB84" s="1">
        <f t="shared" si="92"/>
        <v>4.4389818029602811E-2</v>
      </c>
      <c r="AC84" s="1">
        <f t="shared" si="93"/>
        <v>4.425308211909347E-2</v>
      </c>
      <c r="AD84" s="1">
        <f t="shared" si="94"/>
        <v>-6.2263576797774563E-2</v>
      </c>
      <c r="AE84" s="1">
        <f t="shared" si="95"/>
        <v>-6.2071783561331598E-2</v>
      </c>
    </row>
    <row r="85" spans="1:31" x14ac:dyDescent="0.2">
      <c r="A85">
        <v>0.01</v>
      </c>
      <c r="B85">
        <v>0.99</v>
      </c>
      <c r="C85">
        <v>0.05</v>
      </c>
      <c r="D85">
        <v>0.1</v>
      </c>
      <c r="E85" s="2">
        <f t="shared" si="73"/>
        <v>0.30388820380499204</v>
      </c>
      <c r="F85">
        <f t="shared" si="74"/>
        <v>0.5077764076099841</v>
      </c>
      <c r="G85">
        <f t="shared" si="75"/>
        <v>-0.20169759517275329</v>
      </c>
      <c r="H85">
        <f t="shared" si="76"/>
        <v>0.69660480965449334</v>
      </c>
      <c r="I85">
        <f t="shared" si="77"/>
        <v>6.5972050951248015E-2</v>
      </c>
      <c r="J85">
        <f t="shared" si="5"/>
        <v>0.51648703344607927</v>
      </c>
      <c r="K85">
        <f t="shared" si="78"/>
        <v>5.9575601206811678E-2</v>
      </c>
      <c r="L85">
        <f t="shared" si="7"/>
        <v>0.51488949668054484</v>
      </c>
      <c r="M85">
        <f t="shared" si="79"/>
        <v>-0.14551725669410312</v>
      </c>
      <c r="N85">
        <f t="shared" si="80"/>
        <v>-0.84484372743687552</v>
      </c>
      <c r="O85">
        <f t="shared" si="81"/>
        <v>0.63550748667778001</v>
      </c>
      <c r="P85">
        <f t="shared" si="82"/>
        <v>-0.56541408005089644</v>
      </c>
      <c r="Q85">
        <f t="shared" si="83"/>
        <v>-0.51015893781883714</v>
      </c>
      <c r="R85">
        <f t="shared" si="13"/>
        <v>0.37515626753574732</v>
      </c>
      <c r="S85">
        <f t="shared" si="84"/>
        <v>3.7105605433480959E-2</v>
      </c>
      <c r="T85">
        <f t="shared" si="15"/>
        <v>0.50927533717237694</v>
      </c>
      <c r="U85">
        <f t="shared" si="85"/>
        <v>6.666954986031913E-2</v>
      </c>
      <c r="V85">
        <f t="shared" si="86"/>
        <v>0.11554810072536593</v>
      </c>
      <c r="W85" s="3">
        <f t="shared" si="87"/>
        <v>0.18221765058568506</v>
      </c>
      <c r="X85" s="2">
        <f t="shared" si="88"/>
        <v>-1.108864259415885E-3</v>
      </c>
      <c r="Y85">
        <f t="shared" si="89"/>
        <v>-2.2177285188317701E-3</v>
      </c>
      <c r="Z85">
        <f t="shared" si="90"/>
        <v>-5.480122061086041E-5</v>
      </c>
      <c r="AA85">
        <f t="shared" si="91"/>
        <v>-1.0960244122172082E-4</v>
      </c>
      <c r="AB85" s="1">
        <f t="shared" si="92"/>
        <v>4.4210131481473423E-2</v>
      </c>
      <c r="AC85" s="1">
        <f t="shared" si="93"/>
        <v>4.4073385917931335E-2</v>
      </c>
      <c r="AD85" s="1">
        <f t="shared" si="94"/>
        <v>-6.205065306398163E-2</v>
      </c>
      <c r="AE85" s="1">
        <f t="shared" si="95"/>
        <v>-6.1858725303600634E-2</v>
      </c>
    </row>
    <row r="86" spans="1:31" x14ac:dyDescent="0.2">
      <c r="A86">
        <v>0.01</v>
      </c>
      <c r="B86">
        <v>0.99</v>
      </c>
      <c r="C86">
        <v>0.05</v>
      </c>
      <c r="D86">
        <v>0.1</v>
      </c>
      <c r="E86" s="2">
        <f t="shared" si="73"/>
        <v>0.30399909023093363</v>
      </c>
      <c r="F86">
        <f t="shared" si="74"/>
        <v>0.50799818046186729</v>
      </c>
      <c r="G86">
        <f t="shared" si="75"/>
        <v>-0.20169211505069221</v>
      </c>
      <c r="H86">
        <f t="shared" si="76"/>
        <v>0.69661576989861551</v>
      </c>
      <c r="I86">
        <f t="shared" si="77"/>
        <v>6.5999772557733413E-2</v>
      </c>
      <c r="J86">
        <f t="shared" si="5"/>
        <v>0.51649395630918604</v>
      </c>
      <c r="K86">
        <f t="shared" si="78"/>
        <v>5.9576971237326942E-2</v>
      </c>
      <c r="L86">
        <f t="shared" si="7"/>
        <v>0.51488983888443485</v>
      </c>
      <c r="M86">
        <f t="shared" si="79"/>
        <v>-0.14993826984225045</v>
      </c>
      <c r="N86">
        <f t="shared" si="80"/>
        <v>-0.84925106602866862</v>
      </c>
      <c r="O86">
        <f t="shared" si="81"/>
        <v>0.6417125519841782</v>
      </c>
      <c r="P86">
        <f t="shared" si="82"/>
        <v>-0.55922820752053637</v>
      </c>
      <c r="Q86">
        <f t="shared" si="83"/>
        <v>-0.51471295475291401</v>
      </c>
      <c r="R86">
        <f t="shared" si="13"/>
        <v>0.37408935044622954</v>
      </c>
      <c r="S86">
        <f t="shared" si="84"/>
        <v>4.3499733117692119E-2</v>
      </c>
      <c r="T86">
        <f t="shared" si="15"/>
        <v>0.51087321878384406</v>
      </c>
      <c r="U86">
        <f t="shared" si="85"/>
        <v>6.6280527554178667E-2</v>
      </c>
      <c r="V86">
        <f t="shared" si="86"/>
        <v>0.11478123623927708</v>
      </c>
      <c r="W86" s="3">
        <f t="shared" si="87"/>
        <v>0.18106176379345573</v>
      </c>
      <c r="X86" s="2">
        <f t="shared" si="88"/>
        <v>-1.1189228358812013E-3</v>
      </c>
      <c r="Y86">
        <f t="shared" si="89"/>
        <v>-2.2378456717624027E-3</v>
      </c>
      <c r="Z86">
        <f t="shared" si="90"/>
        <v>-6.800514871536165E-5</v>
      </c>
      <c r="AA86">
        <f t="shared" si="91"/>
        <v>-1.360102974307233E-4</v>
      </c>
      <c r="AB86" s="1">
        <f t="shared" si="92"/>
        <v>4.4031238964307225E-2</v>
      </c>
      <c r="AC86" s="1">
        <f t="shared" si="93"/>
        <v>4.3894487552614526E-2</v>
      </c>
      <c r="AD86" s="1">
        <f t="shared" si="94"/>
        <v>-6.1837264555992595E-2</v>
      </c>
      <c r="AE86" s="1">
        <f t="shared" si="95"/>
        <v>-6.1645211517691721E-2</v>
      </c>
    </row>
    <row r="87" spans="1:31" x14ac:dyDescent="0.2">
      <c r="A87">
        <v>0.01</v>
      </c>
      <c r="B87">
        <v>0.99</v>
      </c>
      <c r="C87">
        <v>0.05</v>
      </c>
      <c r="D87">
        <v>0.1</v>
      </c>
      <c r="E87" s="2">
        <f t="shared" si="73"/>
        <v>0.30411098251452173</v>
      </c>
      <c r="F87">
        <f t="shared" si="74"/>
        <v>0.50822196502904349</v>
      </c>
      <c r="G87">
        <f t="shared" si="75"/>
        <v>-0.20168531453582067</v>
      </c>
      <c r="H87">
        <f t="shared" si="76"/>
        <v>0.69662937092835864</v>
      </c>
      <c r="I87">
        <f t="shared" si="77"/>
        <v>6.6027745628630438E-2</v>
      </c>
      <c r="J87">
        <f t="shared" si="5"/>
        <v>0.51650094196359619</v>
      </c>
      <c r="K87">
        <f t="shared" si="78"/>
        <v>5.957867136604484E-2</v>
      </c>
      <c r="L87">
        <f t="shared" si="7"/>
        <v>0.5148902635396726</v>
      </c>
      <c r="M87">
        <f t="shared" si="79"/>
        <v>-0.15434139373868117</v>
      </c>
      <c r="N87">
        <f t="shared" si="80"/>
        <v>-0.8536405147839301</v>
      </c>
      <c r="O87">
        <f t="shared" si="81"/>
        <v>0.64789627843977748</v>
      </c>
      <c r="P87">
        <f t="shared" si="82"/>
        <v>-0.55306368636876724</v>
      </c>
      <c r="Q87">
        <f t="shared" si="83"/>
        <v>-0.51924866487524268</v>
      </c>
      <c r="R87">
        <f t="shared" si="13"/>
        <v>0.3730279377446134</v>
      </c>
      <c r="S87">
        <f t="shared" si="84"/>
        <v>4.9871930880216075E-2</v>
      </c>
      <c r="T87">
        <f t="shared" si="15"/>
        <v>0.51246539915556044</v>
      </c>
      <c r="U87">
        <f t="shared" si="85"/>
        <v>6.5894641791553452E-2</v>
      </c>
      <c r="V87">
        <f t="shared" si="86"/>
        <v>0.11401964750182911</v>
      </c>
      <c r="W87" s="3">
        <f t="shared" si="87"/>
        <v>0.17991428929338255</v>
      </c>
      <c r="X87" s="2">
        <f t="shared" si="88"/>
        <v>-1.1288241374428317E-3</v>
      </c>
      <c r="Y87">
        <f t="shared" si="89"/>
        <v>-2.2576482748856634E-3</v>
      </c>
      <c r="Z87">
        <f t="shared" si="90"/>
        <v>-8.1078185349515452E-5</v>
      </c>
      <c r="AA87">
        <f t="shared" si="91"/>
        <v>-1.621563706990309E-4</v>
      </c>
      <c r="AB87" s="1">
        <f t="shared" si="92"/>
        <v>4.3853141970169145E-2</v>
      </c>
      <c r="AC87" s="1">
        <f t="shared" si="93"/>
        <v>4.3716388473991424E-2</v>
      </c>
      <c r="AD87" s="1">
        <f t="shared" si="94"/>
        <v>-6.1623442243855645E-2</v>
      </c>
      <c r="AE87" s="1">
        <f t="shared" si="95"/>
        <v>-6.1431273090295661E-2</v>
      </c>
    </row>
    <row r="88" spans="1:31" x14ac:dyDescent="0.2">
      <c r="A88">
        <v>0.01</v>
      </c>
      <c r="B88">
        <v>0.99</v>
      </c>
      <c r="C88">
        <v>0.05</v>
      </c>
      <c r="D88">
        <v>0.1</v>
      </c>
      <c r="E88" s="2">
        <f t="shared" si="73"/>
        <v>0.30422386492826603</v>
      </c>
      <c r="F88">
        <f t="shared" si="74"/>
        <v>0.50844772985653208</v>
      </c>
      <c r="G88">
        <f t="shared" si="75"/>
        <v>-0.20167720671728573</v>
      </c>
      <c r="H88">
        <f t="shared" si="76"/>
        <v>0.69664558656542852</v>
      </c>
      <c r="I88">
        <f t="shared" si="77"/>
        <v>6.6055966232066513E-2</v>
      </c>
      <c r="J88">
        <f t="shared" si="5"/>
        <v>0.51650798942723641</v>
      </c>
      <c r="K88">
        <f t="shared" si="78"/>
        <v>5.9580698320678561E-2</v>
      </c>
      <c r="L88">
        <f t="shared" si="7"/>
        <v>0.51489076982889947</v>
      </c>
      <c r="M88">
        <f t="shared" si="79"/>
        <v>-0.15872670793569807</v>
      </c>
      <c r="N88">
        <f t="shared" si="80"/>
        <v>-0.85801215363132921</v>
      </c>
      <c r="O88">
        <f t="shared" si="81"/>
        <v>0.65405862266416304</v>
      </c>
      <c r="P88">
        <f t="shared" si="82"/>
        <v>-0.54692055905973769</v>
      </c>
      <c r="Q88">
        <f t="shared" si="83"/>
        <v>-0.52376615109005864</v>
      </c>
      <c r="R88">
        <f t="shared" si="13"/>
        <v>0.3719720041461767</v>
      </c>
      <c r="S88">
        <f t="shared" si="84"/>
        <v>5.6222156470293938E-2</v>
      </c>
      <c r="T88">
        <f t="shared" si="15"/>
        <v>0.51405183790519626</v>
      </c>
      <c r="U88">
        <f t="shared" si="85"/>
        <v>6.5511865892799878E-2</v>
      </c>
      <c r="V88">
        <f t="shared" si="86"/>
        <v>0.11326332650071078</v>
      </c>
      <c r="W88" s="3">
        <f t="shared" si="87"/>
        <v>0.17877519239351064</v>
      </c>
      <c r="X88" s="2">
        <f t="shared" si="88"/>
        <v>-1.1385692991083018E-3</v>
      </c>
      <c r="Y88">
        <f t="shared" si="89"/>
        <v>-2.2771385982166036E-3</v>
      </c>
      <c r="Z88">
        <f t="shared" si="90"/>
        <v>-9.4020597018633801E-5</v>
      </c>
      <c r="AA88">
        <f t="shared" si="91"/>
        <v>-1.880411940372676E-4</v>
      </c>
      <c r="AB88" s="1">
        <f t="shared" si="92"/>
        <v>4.3675841831616928E-2</v>
      </c>
      <c r="AC88" s="1">
        <f t="shared" si="93"/>
        <v>4.353908997331115E-2</v>
      </c>
      <c r="AD88" s="1">
        <f t="shared" si="94"/>
        <v>-6.1409216712427495E-2</v>
      </c>
      <c r="AE88" s="1">
        <f t="shared" si="95"/>
        <v>-6.1216940521509354E-2</v>
      </c>
    </row>
    <row r="89" spans="1:31" x14ac:dyDescent="0.2">
      <c r="A89">
        <v>0.01</v>
      </c>
      <c r="B89">
        <v>0.99</v>
      </c>
      <c r="C89">
        <v>0.05</v>
      </c>
      <c r="D89">
        <v>0.1</v>
      </c>
      <c r="E89" s="2">
        <f t="shared" si="73"/>
        <v>0.30433772185817687</v>
      </c>
      <c r="F89">
        <f t="shared" si="74"/>
        <v>0.50867544371635376</v>
      </c>
      <c r="G89">
        <f t="shared" si="75"/>
        <v>-0.20166780465758385</v>
      </c>
      <c r="H89">
        <f t="shared" si="76"/>
        <v>0.69666439068483221</v>
      </c>
      <c r="I89">
        <f t="shared" si="77"/>
        <v>6.6084430464544222E-2</v>
      </c>
      <c r="J89">
        <f t="shared" si="5"/>
        <v>0.5165150977251215</v>
      </c>
      <c r="K89">
        <f t="shared" si="78"/>
        <v>5.9583048835604037E-2</v>
      </c>
      <c r="L89">
        <f t="shared" si="7"/>
        <v>0.51489135693641874</v>
      </c>
      <c r="M89">
        <f t="shared" si="79"/>
        <v>-0.16309429211885976</v>
      </c>
      <c r="N89">
        <f t="shared" si="80"/>
        <v>-0.86236606262866033</v>
      </c>
      <c r="O89">
        <f t="shared" si="81"/>
        <v>0.66019954433540584</v>
      </c>
      <c r="P89">
        <f t="shared" si="82"/>
        <v>-0.54079886500758678</v>
      </c>
      <c r="Q89">
        <f t="shared" si="83"/>
        <v>-0.52826549639497</v>
      </c>
      <c r="R89">
        <f t="shared" si="13"/>
        <v>0.37092152423636926</v>
      </c>
      <c r="S89">
        <f t="shared" si="84"/>
        <v>6.255037072705133E-2</v>
      </c>
      <c r="T89">
        <f t="shared" si="15"/>
        <v>0.51563249610533868</v>
      </c>
      <c r="U89">
        <f t="shared" si="85"/>
        <v>6.5132173328552034E-2</v>
      </c>
      <c r="V89">
        <f t="shared" si="86"/>
        <v>0.11251226437562575</v>
      </c>
      <c r="W89" s="3">
        <f t="shared" si="87"/>
        <v>0.17764443770417779</v>
      </c>
      <c r="X89" s="2">
        <f t="shared" si="88"/>
        <v>-1.1481594713605521E-3</v>
      </c>
      <c r="Y89">
        <f t="shared" si="89"/>
        <v>-2.2963189427211042E-3</v>
      </c>
      <c r="Z89">
        <f t="shared" si="90"/>
        <v>-1.0683267439617211E-4</v>
      </c>
      <c r="AA89">
        <f t="shared" si="91"/>
        <v>-2.1366534879234422E-4</v>
      </c>
      <c r="AB89" s="1">
        <f t="shared" si="92"/>
        <v>4.349933972550947E-2</v>
      </c>
      <c r="AC89" s="1">
        <f t="shared" si="93"/>
        <v>4.3362593186047155E-2</v>
      </c>
      <c r="AD89" s="1">
        <f t="shared" si="94"/>
        <v>-6.1194618155712206E-2</v>
      </c>
      <c r="AE89" s="1">
        <f t="shared" si="95"/>
        <v>-6.1002243919245261E-2</v>
      </c>
    </row>
    <row r="90" spans="1:31" x14ac:dyDescent="0.2">
      <c r="A90">
        <v>0.01</v>
      </c>
      <c r="B90">
        <v>0.99</v>
      </c>
      <c r="C90">
        <v>0.05</v>
      </c>
      <c r="D90">
        <v>0.1</v>
      </c>
      <c r="E90" s="2">
        <f t="shared" si="73"/>
        <v>0.30445253780531295</v>
      </c>
      <c r="F90">
        <f t="shared" si="74"/>
        <v>0.50890507561062592</v>
      </c>
      <c r="G90">
        <f t="shared" si="75"/>
        <v>-0.20165712139014424</v>
      </c>
      <c r="H90">
        <f t="shared" si="76"/>
        <v>0.69668575721971149</v>
      </c>
      <c r="I90">
        <f t="shared" si="77"/>
        <v>6.6113134451328243E-2</v>
      </c>
      <c r="J90">
        <f t="shared" si="5"/>
        <v>0.51652226588945105</v>
      </c>
      <c r="K90">
        <f t="shared" si="78"/>
        <v>5.9585719652463932E-2</v>
      </c>
      <c r="L90">
        <f t="shared" si="7"/>
        <v>0.51489202404834689</v>
      </c>
      <c r="M90">
        <f t="shared" si="79"/>
        <v>-0.16744422609141071</v>
      </c>
      <c r="N90">
        <f t="shared" si="80"/>
        <v>-0.86670232194726504</v>
      </c>
      <c r="O90">
        <f t="shared" si="81"/>
        <v>0.66631900615097706</v>
      </c>
      <c r="P90">
        <f t="shared" si="82"/>
        <v>-0.5346986406156623</v>
      </c>
      <c r="Q90">
        <f t="shared" si="83"/>
        <v>-0.53274678386567031</v>
      </c>
      <c r="R90">
        <f t="shared" si="13"/>
        <v>0.3698764724788674</v>
      </c>
      <c r="S90">
        <f t="shared" si="84"/>
        <v>6.8856537539811746E-2</v>
      </c>
      <c r="T90">
        <f t="shared" si="15"/>
        <v>0.51720733627092419</v>
      </c>
      <c r="U90">
        <f t="shared" si="85"/>
        <v>6.4755537721916501E-2</v>
      </c>
      <c r="V90">
        <f t="shared" si="86"/>
        <v>0.11176645143801747</v>
      </c>
      <c r="W90" s="3">
        <f t="shared" si="87"/>
        <v>0.17652198915993397</v>
      </c>
      <c r="X90" s="2">
        <f t="shared" si="88"/>
        <v>-1.1575958194100231E-3</v>
      </c>
      <c r="Y90">
        <f t="shared" si="89"/>
        <v>-2.3151916388200462E-3</v>
      </c>
      <c r="Z90">
        <f t="shared" si="90"/>
        <v>-1.1951473179414368E-4</v>
      </c>
      <c r="AA90">
        <f t="shared" si="91"/>
        <v>-2.3902946358828736E-4</v>
      </c>
      <c r="AB90" s="1">
        <f t="shared" si="92"/>
        <v>4.3323636676760827E-2</v>
      </c>
      <c r="AC90" s="1">
        <f t="shared" si="93"/>
        <v>4.3186899095666177E-2</v>
      </c>
      <c r="AD90" s="1">
        <f t="shared" si="94"/>
        <v>-6.0979676371601295E-2</v>
      </c>
      <c r="AE90" s="1">
        <f t="shared" si="95"/>
        <v>-6.0787212994041398E-2</v>
      </c>
    </row>
    <row r="91" spans="1:31" x14ac:dyDescent="0.2">
      <c r="A91">
        <v>0.01</v>
      </c>
      <c r="B91">
        <v>0.99</v>
      </c>
      <c r="C91">
        <v>0.05</v>
      </c>
      <c r="D91">
        <v>0.1</v>
      </c>
      <c r="E91" s="2">
        <f t="shared" si="73"/>
        <v>0.30456829738725394</v>
      </c>
      <c r="F91">
        <f t="shared" si="74"/>
        <v>0.5091365947745079</v>
      </c>
      <c r="G91">
        <f t="shared" si="75"/>
        <v>-0.20164516991696482</v>
      </c>
      <c r="H91">
        <f t="shared" si="76"/>
        <v>0.69670966016607028</v>
      </c>
      <c r="I91">
        <f t="shared" si="77"/>
        <v>6.614207434681349E-2</v>
      </c>
      <c r="J91">
        <f t="shared" si="5"/>
        <v>0.51652949295970096</v>
      </c>
      <c r="K91">
        <f t="shared" si="78"/>
        <v>5.9588707520758795E-2</v>
      </c>
      <c r="L91">
        <f t="shared" si="7"/>
        <v>0.51489277035276071</v>
      </c>
      <c r="M91">
        <f t="shared" si="79"/>
        <v>-0.1717765897590868</v>
      </c>
      <c r="N91">
        <f t="shared" si="80"/>
        <v>-0.87102101185683167</v>
      </c>
      <c r="O91">
        <f t="shared" si="81"/>
        <v>0.67241697378813714</v>
      </c>
      <c r="P91">
        <f t="shared" si="82"/>
        <v>-0.52861991931625818</v>
      </c>
      <c r="Q91">
        <f t="shared" si="83"/>
        <v>-0.53721009664103658</v>
      </c>
      <c r="R91">
        <f t="shared" si="13"/>
        <v>0.36883682322344036</v>
      </c>
      <c r="S91">
        <f t="shared" si="84"/>
        <v>7.5140623807882001E-2</v>
      </c>
      <c r="T91">
        <f t="shared" si="15"/>
        <v>0.51877632234617999</v>
      </c>
      <c r="U91">
        <f t="shared" si="85"/>
        <v>6.438193285054529E-2</v>
      </c>
      <c r="V91">
        <f t="shared" si="86"/>
        <v>0.11102587719079564</v>
      </c>
      <c r="W91" s="3">
        <f t="shared" si="87"/>
        <v>0.17540781004134093</v>
      </c>
      <c r="X91" s="2">
        <f t="shared" si="88"/>
        <v>-1.1668795224551349E-3</v>
      </c>
      <c r="Y91">
        <f t="shared" si="89"/>
        <v>-2.3337590449102699E-3</v>
      </c>
      <c r="Z91">
        <f t="shared" si="90"/>
        <v>-1.3206710662948165E-4</v>
      </c>
      <c r="AA91">
        <f t="shared" si="91"/>
        <v>-2.6413421325896329E-4</v>
      </c>
      <c r="AB91" s="1">
        <f t="shared" si="92"/>
        <v>4.3148733562039673E-2</v>
      </c>
      <c r="AC91" s="1">
        <f t="shared" si="93"/>
        <v>4.3012008537342314E-2</v>
      </c>
      <c r="AD91" s="1">
        <f t="shared" si="94"/>
        <v>-6.0764420757008934E-2</v>
      </c>
      <c r="AE91" s="1">
        <f t="shared" si="95"/>
        <v>-6.0571877054265547E-2</v>
      </c>
    </row>
    <row r="92" spans="1:31" x14ac:dyDescent="0.2">
      <c r="A92">
        <v>0.01</v>
      </c>
      <c r="B92">
        <v>0.99</v>
      </c>
      <c r="C92">
        <v>0.05</v>
      </c>
      <c r="D92">
        <v>0.1</v>
      </c>
      <c r="E92" s="2">
        <f t="shared" si="73"/>
        <v>0.30468498533949945</v>
      </c>
      <c r="F92">
        <f t="shared" si="74"/>
        <v>0.50936997067899892</v>
      </c>
      <c r="G92">
        <f t="shared" si="75"/>
        <v>-0.20163196320630186</v>
      </c>
      <c r="H92">
        <f t="shared" si="76"/>
        <v>0.6967360735873962</v>
      </c>
      <c r="I92">
        <f t="shared" si="77"/>
        <v>6.6171246334874867E-2</v>
      </c>
      <c r="J92">
        <f t="shared" si="5"/>
        <v>0.51653677798271169</v>
      </c>
      <c r="K92">
        <f t="shared" si="78"/>
        <v>5.9592009198424528E-2</v>
      </c>
      <c r="L92">
        <f t="shared" si="7"/>
        <v>0.51489359503984233</v>
      </c>
      <c r="M92">
        <f t="shared" si="79"/>
        <v>-0.17609146311529078</v>
      </c>
      <c r="N92">
        <f t="shared" si="80"/>
        <v>-0.87532221271056587</v>
      </c>
      <c r="O92">
        <f t="shared" si="81"/>
        <v>0.67849341586383805</v>
      </c>
      <c r="P92">
        <f t="shared" si="82"/>
        <v>-0.52256273161083167</v>
      </c>
      <c r="Q92">
        <f t="shared" si="83"/>
        <v>-0.54165551790860667</v>
      </c>
      <c r="R92">
        <f t="shared" si="13"/>
        <v>0.36780255071363271</v>
      </c>
      <c r="S92">
        <f t="shared" si="84"/>
        <v>8.1402599399849618E-2</v>
      </c>
      <c r="T92">
        <f t="shared" si="15"/>
        <v>0.52033941969109965</v>
      </c>
      <c r="U92">
        <f t="shared" si="85"/>
        <v>6.4011332648590852E-2</v>
      </c>
      <c r="V92">
        <f t="shared" si="86"/>
        <v>0.11029053034804652</v>
      </c>
      <c r="W92" s="3">
        <f t="shared" si="87"/>
        <v>0.17430186299663736</v>
      </c>
      <c r="X92" s="2">
        <f t="shared" si="88"/>
        <v>-1.1760117729515838E-3</v>
      </c>
      <c r="Y92">
        <f t="shared" si="89"/>
        <v>-2.3520235459031677E-3</v>
      </c>
      <c r="Z92">
        <f t="shared" si="90"/>
        <v>-1.4449015888695946E-4</v>
      </c>
      <c r="AA92">
        <f t="shared" si="91"/>
        <v>-2.8898031777391893E-4</v>
      </c>
      <c r="AB92" s="1">
        <f t="shared" si="92"/>
        <v>4.2974631113413965E-2</v>
      </c>
      <c r="AC92" s="1">
        <f t="shared" si="93"/>
        <v>4.2837922201615961E-2</v>
      </c>
      <c r="AD92" s="1">
        <f t="shared" si="94"/>
        <v>-6.054888030339544E-2</v>
      </c>
      <c r="AE92" s="1">
        <f t="shared" si="95"/>
        <v>-6.0356265001706884E-2</v>
      </c>
    </row>
    <row r="93" spans="1:31" x14ac:dyDescent="0.2">
      <c r="A93">
        <v>0.01</v>
      </c>
      <c r="B93">
        <v>0.99</v>
      </c>
      <c r="C93">
        <v>0.05</v>
      </c>
      <c r="D93">
        <v>0.1</v>
      </c>
      <c r="E93" s="2">
        <f t="shared" si="73"/>
        <v>0.30480258651679459</v>
      </c>
      <c r="F93">
        <f t="shared" si="74"/>
        <v>0.50960517303358921</v>
      </c>
      <c r="G93">
        <f t="shared" si="75"/>
        <v>-0.20161751419041316</v>
      </c>
      <c r="H93">
        <f t="shared" si="76"/>
        <v>0.69676497161917361</v>
      </c>
      <c r="I93">
        <f t="shared" si="77"/>
        <v>6.6200646629198653E-2</v>
      </c>
      <c r="J93">
        <f t="shared" si="5"/>
        <v>0.51654412001277028</v>
      </c>
      <c r="K93">
        <f t="shared" si="78"/>
        <v>5.9595621452396698E-2</v>
      </c>
      <c r="L93">
        <f t="shared" si="7"/>
        <v>0.51489449730201964</v>
      </c>
      <c r="M93">
        <f t="shared" si="79"/>
        <v>-0.18038892622663219</v>
      </c>
      <c r="N93">
        <f t="shared" si="80"/>
        <v>-0.87960600493072749</v>
      </c>
      <c r="O93">
        <f t="shared" si="81"/>
        <v>0.68454830389417753</v>
      </c>
      <c r="P93">
        <f t="shared" si="82"/>
        <v>-0.51652710511066102</v>
      </c>
      <c r="Q93">
        <f t="shared" si="83"/>
        <v>-0.54608313089042904</v>
      </c>
      <c r="R93">
        <f t="shared" si="13"/>
        <v>0.3667736290942642</v>
      </c>
      <c r="S93">
        <f t="shared" si="84"/>
        <v>8.7642437112431137E-2</v>
      </c>
      <c r="T93">
        <f t="shared" si="15"/>
        <v>0.52189659506747521</v>
      </c>
      <c r="U93">
        <f t="shared" si="85"/>
        <v>6.3643711208545797E-2</v>
      </c>
      <c r="V93">
        <f t="shared" si="86"/>
        <v>0.10956039885471164</v>
      </c>
      <c r="W93" s="3">
        <f t="shared" si="87"/>
        <v>0.17320411006325742</v>
      </c>
      <c r="X93" s="2">
        <f t="shared" si="88"/>
        <v>-1.1849937758908397E-3</v>
      </c>
      <c r="Y93">
        <f t="shared" si="89"/>
        <v>-2.3699875517816794E-3</v>
      </c>
      <c r="Z93">
        <f t="shared" si="90"/>
        <v>-1.5678427057927804E-4</v>
      </c>
      <c r="AA93">
        <f t="shared" si="91"/>
        <v>-3.1356854115855608E-4</v>
      </c>
      <c r="AB93" s="1">
        <f t="shared" si="92"/>
        <v>4.2801329921940717E-2</v>
      </c>
      <c r="AC93" s="1">
        <f t="shared" si="93"/>
        <v>4.2664640637997617E-2</v>
      </c>
      <c r="AD93" s="1">
        <f t="shared" si="94"/>
        <v>-6.033308359267156E-2</v>
      </c>
      <c r="AE93" s="1">
        <f t="shared" si="95"/>
        <v>-6.0140405327547511E-2</v>
      </c>
    </row>
    <row r="94" spans="1:31" x14ac:dyDescent="0.2">
      <c r="A94">
        <v>0.01</v>
      </c>
      <c r="B94">
        <v>0.99</v>
      </c>
      <c r="C94">
        <v>0.05</v>
      </c>
      <c r="D94">
        <v>0.1</v>
      </c>
      <c r="E94" s="2">
        <f t="shared" si="73"/>
        <v>0.30492108589438366</v>
      </c>
      <c r="F94">
        <f t="shared" si="74"/>
        <v>0.50984217178876734</v>
      </c>
      <c r="G94">
        <f t="shared" si="75"/>
        <v>-0.20160183576335522</v>
      </c>
      <c r="H94">
        <f t="shared" si="76"/>
        <v>0.69679632847328943</v>
      </c>
      <c r="I94">
        <f t="shared" si="77"/>
        <v>6.623027147359592E-2</v>
      </c>
      <c r="J94">
        <f t="shared" si="5"/>
        <v>0.51655151811168898</v>
      </c>
      <c r="K94">
        <f t="shared" si="78"/>
        <v>5.9599541059161189E-2</v>
      </c>
      <c r="L94">
        <f t="shared" si="7"/>
        <v>0.51489547633410426</v>
      </c>
      <c r="M94">
        <f t="shared" si="79"/>
        <v>-0.18466905921882626</v>
      </c>
      <c r="N94">
        <f t="shared" si="80"/>
        <v>-0.88387246899452721</v>
      </c>
      <c r="O94">
        <f t="shared" si="81"/>
        <v>0.69058161225344472</v>
      </c>
      <c r="P94">
        <f t="shared" si="82"/>
        <v>-0.51051306457790624</v>
      </c>
      <c r="Q94">
        <f t="shared" si="83"/>
        <v>-0.55049301882927992</v>
      </c>
      <c r="R94">
        <f t="shared" si="13"/>
        <v>0.36575003241874926</v>
      </c>
      <c r="S94">
        <f t="shared" si="84"/>
        <v>9.3860112628910253E-2</v>
      </c>
      <c r="T94">
        <f t="shared" si="15"/>
        <v>0.52344781662450779</v>
      </c>
      <c r="U94">
        <f t="shared" si="85"/>
        <v>6.3279042782970571E-2</v>
      </c>
      <c r="V94">
        <f t="shared" si="86"/>
        <v>0.10883546990621945</v>
      </c>
      <c r="W94" s="3">
        <f t="shared" si="87"/>
        <v>0.17211451268919004</v>
      </c>
      <c r="X94" s="2">
        <f t="shared" si="88"/>
        <v>-1.1938267480882359E-3</v>
      </c>
      <c r="Y94">
        <f t="shared" si="89"/>
        <v>-2.3876534961764719E-3</v>
      </c>
      <c r="Z94">
        <f t="shared" si="90"/>
        <v>-1.6894984520489029E-4</v>
      </c>
      <c r="AA94">
        <f t="shared" si="91"/>
        <v>-3.3789969040978057E-4</v>
      </c>
      <c r="AB94" s="1">
        <f t="shared" si="92"/>
        <v>4.2628830441200721E-2</v>
      </c>
      <c r="AC94" s="1">
        <f t="shared" si="93"/>
        <v>4.2492164258516228E-2</v>
      </c>
      <c r="AD94" s="1">
        <f t="shared" si="94"/>
        <v>-6.0117058793476764E-2</v>
      </c>
      <c r="AE94" s="1">
        <f t="shared" si="95"/>
        <v>-5.9924326108707099E-2</v>
      </c>
    </row>
    <row r="95" spans="1:31" x14ac:dyDescent="0.2">
      <c r="A95">
        <v>0.01</v>
      </c>
      <c r="B95">
        <v>0.99</v>
      </c>
      <c r="C95">
        <v>0.05</v>
      </c>
      <c r="D95">
        <v>0.1</v>
      </c>
      <c r="E95" s="2">
        <f t="shared" si="73"/>
        <v>0.30504046856919248</v>
      </c>
      <c r="F95">
        <f t="shared" si="74"/>
        <v>0.51008093713838498</v>
      </c>
      <c r="G95">
        <f t="shared" si="75"/>
        <v>-0.20158494077883474</v>
      </c>
      <c r="H95">
        <f t="shared" si="76"/>
        <v>0.69683011844233045</v>
      </c>
      <c r="I95">
        <f t="shared" si="77"/>
        <v>6.6260117142298125E-2</v>
      </c>
      <c r="J95">
        <f t="shared" si="5"/>
        <v>0.51655897134887907</v>
      </c>
      <c r="K95">
        <f t="shared" si="78"/>
        <v>5.9603764805291309E-2</v>
      </c>
      <c r="L95">
        <f t="shared" si="7"/>
        <v>0.51489653133342594</v>
      </c>
      <c r="M95">
        <f t="shared" si="79"/>
        <v>-0.18893194226294632</v>
      </c>
      <c r="N95">
        <f t="shared" si="80"/>
        <v>-0.88812168542037884</v>
      </c>
      <c r="O95">
        <f t="shared" si="81"/>
        <v>0.69659331813279235</v>
      </c>
      <c r="P95">
        <f t="shared" si="82"/>
        <v>-0.50452063196703556</v>
      </c>
      <c r="Q95">
        <f t="shared" si="83"/>
        <v>-0.55488526497524249</v>
      </c>
      <c r="R95">
        <f t="shared" si="13"/>
        <v>0.36473173465624004</v>
      </c>
      <c r="S95">
        <f t="shared" si="84"/>
        <v>0.10005560447720308</v>
      </c>
      <c r="T95">
        <f t="shared" si="15"/>
        <v>0.52499305388401851</v>
      </c>
      <c r="U95">
        <f t="shared" si="85"/>
        <v>6.2917301786112545E-2</v>
      </c>
      <c r="V95">
        <f t="shared" si="86"/>
        <v>0.10811572996805566</v>
      </c>
      <c r="W95" s="3">
        <f t="shared" si="87"/>
        <v>0.1710330317541682</v>
      </c>
      <c r="X95" s="2">
        <f t="shared" si="88"/>
        <v>-1.2025119174809875E-3</v>
      </c>
      <c r="Y95">
        <f t="shared" si="89"/>
        <v>-2.4050238349619751E-3</v>
      </c>
      <c r="Z95">
        <f t="shared" si="90"/>
        <v>-1.8098730720414379E-4</v>
      </c>
      <c r="AA95">
        <f t="shared" si="91"/>
        <v>-3.6197461440828758E-4</v>
      </c>
      <c r="AB95" s="1">
        <f t="shared" si="92"/>
        <v>4.2457132990778225E-2</v>
      </c>
      <c r="AC95" s="1">
        <f t="shared" si="93"/>
        <v>4.2320493341212226E-2</v>
      </c>
      <c r="AD95" s="1">
        <f t="shared" si="94"/>
        <v>-5.9900833657823838E-2</v>
      </c>
      <c r="AE95" s="1">
        <f t="shared" si="95"/>
        <v>-5.9708055004552688E-2</v>
      </c>
    </row>
    <row r="96" spans="1:31" x14ac:dyDescent="0.2">
      <c r="A96">
        <v>0.01</v>
      </c>
      <c r="B96">
        <v>0.99</v>
      </c>
      <c r="C96">
        <v>0.05</v>
      </c>
      <c r="D96">
        <v>0.1</v>
      </c>
      <c r="E96" s="2">
        <f t="shared" si="73"/>
        <v>0.30516071976094056</v>
      </c>
      <c r="F96">
        <f t="shared" si="74"/>
        <v>0.51032143952188114</v>
      </c>
      <c r="G96">
        <f t="shared" si="75"/>
        <v>-0.20156684204811431</v>
      </c>
      <c r="H96">
        <f t="shared" si="76"/>
        <v>0.69686631590377124</v>
      </c>
      <c r="I96">
        <f t="shared" si="77"/>
        <v>6.6290179940235144E-2</v>
      </c>
      <c r="J96">
        <f t="shared" si="5"/>
        <v>0.51656647880142037</v>
      </c>
      <c r="K96">
        <f t="shared" si="78"/>
        <v>5.9608289487971408E-2</v>
      </c>
      <c r="L96">
        <f t="shared" si="7"/>
        <v>0.51489766149996252</v>
      </c>
      <c r="M96">
        <f t="shared" si="79"/>
        <v>-0.19317765556202415</v>
      </c>
      <c r="N96">
        <f t="shared" si="80"/>
        <v>-0.89235373475450008</v>
      </c>
      <c r="O96">
        <f t="shared" si="81"/>
        <v>0.70258340149857479</v>
      </c>
      <c r="P96">
        <f t="shared" si="82"/>
        <v>-0.4985498264665803</v>
      </c>
      <c r="Q96">
        <f t="shared" si="83"/>
        <v>-0.55925995257263839</v>
      </c>
      <c r="R96">
        <f t="shared" si="13"/>
        <v>0.36371870969859421</v>
      </c>
      <c r="S96">
        <f t="shared" si="84"/>
        <v>0.10622889398758906</v>
      </c>
      <c r="T96">
        <f t="shared" si="15"/>
        <v>0.52653227772528355</v>
      </c>
      <c r="U96">
        <f t="shared" si="85"/>
        <v>6.2558462795419184E-2</v>
      </c>
      <c r="V96">
        <f t="shared" si="86"/>
        <v>0.10740116479525684</v>
      </c>
      <c r="W96" s="3">
        <f t="shared" si="87"/>
        <v>0.16995962759067601</v>
      </c>
      <c r="X96" s="2">
        <f t="shared" si="88"/>
        <v>-1.2110505224364749E-3</v>
      </c>
      <c r="Y96">
        <f t="shared" si="89"/>
        <v>-2.4221010448729498E-3</v>
      </c>
      <c r="Z96">
        <f t="shared" si="90"/>
        <v>-1.9289710141429139E-4</v>
      </c>
      <c r="AA96">
        <f t="shared" si="91"/>
        <v>-3.8579420282858277E-4</v>
      </c>
      <c r="AB96" s="1">
        <f t="shared" si="92"/>
        <v>4.228623775968561E-2</v>
      </c>
      <c r="AC96" s="1">
        <f t="shared" si="93"/>
        <v>4.2149628033575116E-2</v>
      </c>
      <c r="AD96" s="1">
        <f t="shared" si="94"/>
        <v>-5.9684435518101819E-2</v>
      </c>
      <c r="AE96" s="1">
        <f t="shared" si="95"/>
        <v>-5.9491619253965872E-2</v>
      </c>
    </row>
    <row r="97" spans="1:31" x14ac:dyDescent="0.2">
      <c r="A97">
        <v>0.01</v>
      </c>
      <c r="B97">
        <v>0.99</v>
      </c>
      <c r="C97">
        <v>0.05</v>
      </c>
      <c r="D97">
        <v>0.1</v>
      </c>
      <c r="E97" s="2">
        <f t="shared" si="73"/>
        <v>0.30528182481318422</v>
      </c>
      <c r="F97">
        <f t="shared" si="74"/>
        <v>0.51056364962636847</v>
      </c>
      <c r="G97">
        <f t="shared" si="75"/>
        <v>-0.20154755233797289</v>
      </c>
      <c r="H97">
        <f t="shared" si="76"/>
        <v>0.69690489532405409</v>
      </c>
      <c r="I97">
        <f t="shared" si="77"/>
        <v>6.632045620329606E-2</v>
      </c>
      <c r="J97">
        <f t="shared" si="5"/>
        <v>0.51657403955412617</v>
      </c>
      <c r="K97">
        <f t="shared" si="78"/>
        <v>5.9613111915506764E-2</v>
      </c>
      <c r="L97">
        <f t="shared" si="7"/>
        <v>0.51489886603646873</v>
      </c>
      <c r="M97">
        <f t="shared" si="79"/>
        <v>-0.19740627933799271</v>
      </c>
      <c r="N97">
        <f t="shared" si="80"/>
        <v>-0.89656869755785762</v>
      </c>
      <c r="O97">
        <f t="shared" si="81"/>
        <v>0.70855184505038493</v>
      </c>
      <c r="P97">
        <f t="shared" si="82"/>
        <v>-0.49260066454118373</v>
      </c>
      <c r="Q97">
        <f t="shared" si="83"/>
        <v>-0.56361716484731172</v>
      </c>
      <c r="R97">
        <f t="shared" si="13"/>
        <v>0.3627109313671707</v>
      </c>
      <c r="S97">
        <f t="shared" si="84"/>
        <v>0.11237996525014016</v>
      </c>
      <c r="T97">
        <f t="shared" si="15"/>
        <v>0.52806546036951263</v>
      </c>
      <c r="U97">
        <f t="shared" si="85"/>
        <v>6.2202500552948493E-2</v>
      </c>
      <c r="V97">
        <f t="shared" si="86"/>
        <v>0.10669175945181515</v>
      </c>
      <c r="W97" s="3">
        <f t="shared" si="87"/>
        <v>0.16889426000476365</v>
      </c>
      <c r="X97" s="2">
        <f t="shared" si="88"/>
        <v>-1.2194438110710978E-3</v>
      </c>
      <c r="Y97">
        <f t="shared" si="89"/>
        <v>-2.4388876221421957E-3</v>
      </c>
      <c r="Z97">
        <f t="shared" si="90"/>
        <v>-2.0467969252390604E-4</v>
      </c>
      <c r="AA97">
        <f t="shared" si="91"/>
        <v>-4.0935938504781208E-4</v>
      </c>
      <c r="AB97" s="1">
        <f t="shared" si="92"/>
        <v>4.2116144809732935E-2</v>
      </c>
      <c r="AC97" s="1">
        <f t="shared" si="93"/>
        <v>4.1979568355925874E-2</v>
      </c>
      <c r="AD97" s="1">
        <f t="shared" si="94"/>
        <v>-5.9467891284429621E-2</v>
      </c>
      <c r="AE97" s="1">
        <f t="shared" si="95"/>
        <v>-5.9275045672759721E-2</v>
      </c>
    </row>
    <row r="98" spans="1:31" x14ac:dyDescent="0.2">
      <c r="A98">
        <v>0.01</v>
      </c>
      <c r="B98">
        <v>0.99</v>
      </c>
      <c r="C98">
        <v>0.05</v>
      </c>
      <c r="D98">
        <v>0.1</v>
      </c>
      <c r="E98" s="2">
        <f t="shared" si="73"/>
        <v>0.30540376919429135</v>
      </c>
      <c r="F98">
        <f t="shared" si="74"/>
        <v>0.51080753838858273</v>
      </c>
      <c r="G98">
        <f t="shared" si="75"/>
        <v>-0.20152708436872049</v>
      </c>
      <c r="H98">
        <f t="shared" si="76"/>
        <v>0.69694583126255882</v>
      </c>
      <c r="I98">
        <f t="shared" si="77"/>
        <v>6.6350942298572843E-2</v>
      </c>
      <c r="J98">
        <f t="shared" si="5"/>
        <v>0.51658165269960465</v>
      </c>
      <c r="K98">
        <f t="shared" si="78"/>
        <v>5.9618228907819856E-2</v>
      </c>
      <c r="L98">
        <f t="shared" si="7"/>
        <v>0.51490014414859897</v>
      </c>
      <c r="M98">
        <f t="shared" si="79"/>
        <v>-0.201617893818966</v>
      </c>
      <c r="N98">
        <f t="shared" si="80"/>
        <v>-0.90076665439345016</v>
      </c>
      <c r="O98">
        <f t="shared" si="81"/>
        <v>0.71449863417882786</v>
      </c>
      <c r="P98">
        <f t="shared" si="82"/>
        <v>-0.48667315997390775</v>
      </c>
      <c r="Q98">
        <f t="shared" si="83"/>
        <v>-0.56795698499425362</v>
      </c>
      <c r="R98">
        <f t="shared" si="13"/>
        <v>0.36170837341945561</v>
      </c>
      <c r="S98">
        <f t="shared" si="84"/>
        <v>0.11850880507188982</v>
      </c>
      <c r="T98">
        <f t="shared" si="15"/>
        <v>0.52959257536399496</v>
      </c>
      <c r="U98">
        <f t="shared" si="85"/>
        <v>6.1849389966679609E-2</v>
      </c>
      <c r="V98">
        <f t="shared" si="86"/>
        <v>0.10598749832997933</v>
      </c>
      <c r="W98" s="3">
        <f t="shared" si="87"/>
        <v>0.16783688829665894</v>
      </c>
      <c r="X98" s="2">
        <f t="shared" si="88"/>
        <v>-1.2276930405799797E-3</v>
      </c>
      <c r="Y98">
        <f t="shared" si="89"/>
        <v>-2.4553860811599593E-3</v>
      </c>
      <c r="Z98">
        <f t="shared" si="90"/>
        <v>-2.1633556452722413E-4</v>
      </c>
      <c r="AA98">
        <f t="shared" si="91"/>
        <v>-4.3267112905444826E-4</v>
      </c>
      <c r="AB98" s="1">
        <f t="shared" si="92"/>
        <v>4.1946854078842619E-2</v>
      </c>
      <c r="AC98" s="1">
        <f t="shared" si="93"/>
        <v>4.1810314204743806E-2</v>
      </c>
      <c r="AD98" s="1">
        <f t="shared" si="94"/>
        <v>-5.9251227442352054E-2</v>
      </c>
      <c r="AE98" s="1">
        <f t="shared" si="95"/>
        <v>-5.9058360651436749E-2</v>
      </c>
    </row>
    <row r="99" spans="1:31" x14ac:dyDescent="0.2">
      <c r="A99">
        <v>0.01</v>
      </c>
      <c r="B99">
        <v>0.99</v>
      </c>
      <c r="C99">
        <v>0.05</v>
      </c>
      <c r="D99">
        <v>0.1</v>
      </c>
      <c r="E99" s="2">
        <f t="shared" si="73"/>
        <v>0.30552653849834938</v>
      </c>
      <c r="F99">
        <f t="shared" si="74"/>
        <v>0.51105307699669877</v>
      </c>
      <c r="G99">
        <f t="shared" si="75"/>
        <v>-0.20150545081226778</v>
      </c>
      <c r="H99">
        <f t="shared" si="76"/>
        <v>0.6969890983754643</v>
      </c>
      <c r="I99">
        <f t="shared" si="77"/>
        <v>6.6381634624587349E-2</v>
      </c>
      <c r="J99">
        <f t="shared" si="5"/>
        <v>0.51658931733831492</v>
      </c>
      <c r="K99">
        <f t="shared" si="78"/>
        <v>5.9623637296933048E-2</v>
      </c>
      <c r="L99">
        <f t="shared" si="7"/>
        <v>0.5149014950450288</v>
      </c>
      <c r="M99">
        <f t="shared" si="79"/>
        <v>-0.20581257922685026</v>
      </c>
      <c r="N99">
        <f t="shared" si="80"/>
        <v>-0.9049476858139246</v>
      </c>
      <c r="O99">
        <f t="shared" si="81"/>
        <v>0.72042375692306304</v>
      </c>
      <c r="P99">
        <f t="shared" si="82"/>
        <v>-0.48076732390876409</v>
      </c>
      <c r="Q99">
        <f t="shared" si="83"/>
        <v>-0.57227949616556517</v>
      </c>
      <c r="R99">
        <f t="shared" si="13"/>
        <v>0.36071100955552171</v>
      </c>
      <c r="S99">
        <f t="shared" si="84"/>
        <v>0.12461540293376899</v>
      </c>
      <c r="T99">
        <f t="shared" si="15"/>
        <v>0.53111359756593102</v>
      </c>
      <c r="U99">
        <f t="shared" si="85"/>
        <v>6.1499106111726619E-2</v>
      </c>
      <c r="V99">
        <f t="shared" si="86"/>
        <v>0.10528836516944115</v>
      </c>
      <c r="W99" s="3">
        <f t="shared" si="87"/>
        <v>0.16678747128116778</v>
      </c>
      <c r="X99" s="2">
        <f t="shared" si="88"/>
        <v>-1.235799476577794E-3</v>
      </c>
      <c r="Y99">
        <f t="shared" si="89"/>
        <v>-2.4715989531555881E-3</v>
      </c>
      <c r="Z99">
        <f t="shared" si="90"/>
        <v>-2.278652201789236E-4</v>
      </c>
      <c r="AA99">
        <f t="shared" si="91"/>
        <v>-4.5573044035784719E-4</v>
      </c>
      <c r="AB99" s="1">
        <f t="shared" si="92"/>
        <v>4.1778365384309332E-2</v>
      </c>
      <c r="AC99" s="1">
        <f t="shared" si="93"/>
        <v>4.1641865355938612E-2</v>
      </c>
      <c r="AD99" s="1">
        <f t="shared" si="94"/>
        <v>-5.9034470050870105E-2</v>
      </c>
      <c r="AE99" s="1">
        <f t="shared" si="95"/>
        <v>-5.8841590153280318E-2</v>
      </c>
    </row>
    <row r="100" spans="1:31" x14ac:dyDescent="0.2">
      <c r="A100">
        <v>0.01</v>
      </c>
      <c r="B100">
        <v>0.99</v>
      </c>
      <c r="C100">
        <v>0.05</v>
      </c>
      <c r="D100">
        <v>0.1</v>
      </c>
      <c r="E100" s="2">
        <f t="shared" si="73"/>
        <v>0.30565011844600715</v>
      </c>
      <c r="F100">
        <f t="shared" si="74"/>
        <v>0.51130023689201431</v>
      </c>
      <c r="G100">
        <f t="shared" si="75"/>
        <v>-0.20148266429024989</v>
      </c>
      <c r="H100">
        <f t="shared" si="76"/>
        <v>0.69703467141950004</v>
      </c>
      <c r="I100">
        <f t="shared" si="77"/>
        <v>6.6412529611501792E-2</v>
      </c>
      <c r="J100">
        <f t="shared" si="5"/>
        <v>0.51659703257861989</v>
      </c>
      <c r="K100">
        <f t="shared" si="78"/>
        <v>5.9629333927437515E-2</v>
      </c>
      <c r="L100">
        <f t="shared" si="7"/>
        <v>0.51490291793757137</v>
      </c>
      <c r="M100">
        <f t="shared" si="79"/>
        <v>-0.20999041576528119</v>
      </c>
      <c r="N100">
        <f t="shared" si="80"/>
        <v>-0.9091118723495184</v>
      </c>
      <c r="O100">
        <f t="shared" si="81"/>
        <v>0.72632720392815009</v>
      </c>
      <c r="P100">
        <f t="shared" si="82"/>
        <v>-0.47488316489343607</v>
      </c>
      <c r="Q100">
        <f t="shared" si="83"/>
        <v>-0.57658478145875081</v>
      </c>
      <c r="R100">
        <f t="shared" si="13"/>
        <v>0.35971881342432321</v>
      </c>
      <c r="S100">
        <f t="shared" si="84"/>
        <v>0.13069975094734934</v>
      </c>
      <c r="T100">
        <f t="shared" si="15"/>
        <v>0.53262850312597265</v>
      </c>
      <c r="U100">
        <f t="shared" si="85"/>
        <v>6.1151624231458292E-2</v>
      </c>
      <c r="V100">
        <f t="shared" si="86"/>
        <v>0.1045943430763942</v>
      </c>
      <c r="W100" s="3">
        <f t="shared" si="87"/>
        <v>0.16574596730785249</v>
      </c>
      <c r="X100" s="2">
        <f t="shared" si="88"/>
        <v>-1.2437643924509494E-3</v>
      </c>
      <c r="Y100">
        <f t="shared" si="89"/>
        <v>-2.4875287849018988E-3</v>
      </c>
      <c r="Z100">
        <f t="shared" si="90"/>
        <v>-2.3926918044981662E-4</v>
      </c>
      <c r="AA100">
        <f t="shared" si="91"/>
        <v>-4.7853836089963324E-4</v>
      </c>
      <c r="AB100" s="1">
        <f t="shared" si="92"/>
        <v>4.1610678426005132E-2</v>
      </c>
      <c r="AC100" s="1">
        <f t="shared" si="93"/>
        <v>4.1474221468067174E-2</v>
      </c>
      <c r="AD100" s="1">
        <f t="shared" si="94"/>
        <v>-5.8817644740797183E-2</v>
      </c>
      <c r="AE100" s="1">
        <f t="shared" si="95"/>
        <v>-5.8624759712770605E-2</v>
      </c>
    </row>
    <row r="101" spans="1:31" x14ac:dyDescent="0.2">
      <c r="A101">
        <v>0.01</v>
      </c>
      <c r="B101">
        <v>0.99</v>
      </c>
      <c r="C101">
        <v>0.05</v>
      </c>
      <c r="D101">
        <v>0.1</v>
      </c>
      <c r="E101" s="2">
        <f t="shared" si="73"/>
        <v>0.30577449488525227</v>
      </c>
      <c r="F101">
        <f t="shared" si="74"/>
        <v>0.51154898977050456</v>
      </c>
      <c r="G101">
        <f t="shared" si="75"/>
        <v>-0.2014587373722049</v>
      </c>
      <c r="H101">
        <f t="shared" si="76"/>
        <v>0.69708252525559</v>
      </c>
      <c r="I101">
        <f t="shared" si="77"/>
        <v>6.6443623721313072E-2</v>
      </c>
      <c r="J101">
        <f t="shared" ref="J101:J105" si="96">1/(1+EXP(-I101))</f>
        <v>0.51660479753683497</v>
      </c>
      <c r="K101">
        <f t="shared" si="78"/>
        <v>5.9635315656948754E-2</v>
      </c>
      <c r="L101">
        <f t="shared" ref="L101:L105" si="97">1/(1+EXP(-K101))</f>
        <v>0.514904412041292</v>
      </c>
      <c r="M101">
        <f t="shared" si="79"/>
        <v>-0.21415148360788169</v>
      </c>
      <c r="N101">
        <f t="shared" si="80"/>
        <v>-0.91325929449632515</v>
      </c>
      <c r="O101">
        <f t="shared" si="81"/>
        <v>0.73220896840222982</v>
      </c>
      <c r="P101">
        <f t="shared" si="82"/>
        <v>-0.46902068892215903</v>
      </c>
      <c r="Q101">
        <f t="shared" si="83"/>
        <v>-0.58087292390533807</v>
      </c>
      <c r="R101">
        <f t="shared" ref="R101:R105" si="98">1/(1+EXP(-Q101))</f>
        <v>0.35873175862982859</v>
      </c>
      <c r="S101">
        <f t="shared" si="84"/>
        <v>0.13676184381142273</v>
      </c>
      <c r="T101">
        <f t="shared" ref="T101:T105" si="99">1/(1+EXP(-S101))</f>
        <v>0.53413726947149176</v>
      </c>
      <c r="U101">
        <f t="shared" si="85"/>
        <v>6.0806919738526512E-2</v>
      </c>
      <c r="V101">
        <f t="shared" si="86"/>
        <v>0.10390541454245365</v>
      </c>
      <c r="W101" s="3">
        <f t="shared" si="87"/>
        <v>0.16471233428098017</v>
      </c>
      <c r="X101" s="2">
        <f t="shared" si="88"/>
        <v>-1.2515890687213524E-3</v>
      </c>
      <c r="Y101">
        <f t="shared" si="89"/>
        <v>-2.5031781374427048E-3</v>
      </c>
      <c r="Z101">
        <f t="shared" si="90"/>
        <v>-2.5054798398394283E-4</v>
      </c>
      <c r="AA101">
        <f t="shared" si="91"/>
        <v>-5.0109596796788565E-4</v>
      </c>
      <c r="AB101" s="1">
        <f t="shared" si="92"/>
        <v>4.1443792789530351E-2</v>
      </c>
      <c r="AC101" s="1">
        <f t="shared" si="93"/>
        <v>4.1307382085495836E-2</v>
      </c>
      <c r="AD101" s="1">
        <f t="shared" si="94"/>
        <v>-5.8600776713432605E-2</v>
      </c>
      <c r="AE101" s="1">
        <f t="shared" si="95"/>
        <v>-5.8407894434316779E-2</v>
      </c>
    </row>
    <row r="102" spans="1:31" x14ac:dyDescent="0.2">
      <c r="A102">
        <v>0.01</v>
      </c>
      <c r="B102">
        <v>0.99</v>
      </c>
      <c r="C102">
        <v>0.05</v>
      </c>
      <c r="D102">
        <v>0.1</v>
      </c>
      <c r="E102" s="2">
        <f t="shared" si="73"/>
        <v>0.30589965379212442</v>
      </c>
      <c r="F102">
        <f t="shared" si="74"/>
        <v>0.51179930758424885</v>
      </c>
      <c r="G102">
        <f t="shared" si="75"/>
        <v>-0.20143368257380651</v>
      </c>
      <c r="H102">
        <f t="shared" si="76"/>
        <v>0.69713263485238675</v>
      </c>
      <c r="I102">
        <f t="shared" si="77"/>
        <v>6.6474913448031109E-2</v>
      </c>
      <c r="J102">
        <f t="shared" si="96"/>
        <v>0.51661261133727254</v>
      </c>
      <c r="K102">
        <f t="shared" si="78"/>
        <v>5.9641579356548353E-2</v>
      </c>
      <c r="L102">
        <f t="shared" si="97"/>
        <v>0.51490597657461823</v>
      </c>
      <c r="M102">
        <f t="shared" si="79"/>
        <v>-0.21829586288683472</v>
      </c>
      <c r="N102">
        <f t="shared" si="80"/>
        <v>-0.91739003270487474</v>
      </c>
      <c r="O102">
        <f t="shared" si="81"/>
        <v>0.73806904607357304</v>
      </c>
      <c r="P102">
        <f t="shared" si="82"/>
        <v>-0.46317989947872734</v>
      </c>
      <c r="Q102">
        <f t="shared" si="83"/>
        <v>-0.58514400645981535</v>
      </c>
      <c r="R102">
        <f t="shared" si="98"/>
        <v>0.35774981873699463</v>
      </c>
      <c r="S102">
        <f t="shared" si="84"/>
        <v>0.14280167876845065</v>
      </c>
      <c r="T102">
        <f t="shared" si="99"/>
        <v>0.53563987528959711</v>
      </c>
      <c r="U102">
        <f t="shared" si="85"/>
        <v>6.0464968215806304E-2</v>
      </c>
      <c r="V102">
        <f t="shared" si="86"/>
        <v>0.10322156146342643</v>
      </c>
      <c r="W102" s="3">
        <f t="shared" si="87"/>
        <v>0.16368652967923272</v>
      </c>
      <c r="X102" s="2">
        <f t="shared" si="88"/>
        <v>-1.2592747924219539E-3</v>
      </c>
      <c r="Y102">
        <f t="shared" si="89"/>
        <v>-2.5185495848439078E-3</v>
      </c>
      <c r="Z102">
        <f t="shared" si="90"/>
        <v>-2.6170218655750062E-4</v>
      </c>
      <c r="AA102">
        <f t="shared" si="91"/>
        <v>-5.2340437311500124E-4</v>
      </c>
      <c r="AB102" s="1">
        <f t="shared" si="92"/>
        <v>4.1277707949310002E-2</v>
      </c>
      <c r="AC102" s="1">
        <f t="shared" si="93"/>
        <v>4.1141346641507946E-2</v>
      </c>
      <c r="AD102" s="1">
        <f t="shared" si="94"/>
        <v>-5.8383890739543948E-2</v>
      </c>
      <c r="AE102" s="1">
        <f t="shared" si="95"/>
        <v>-5.8191018991296854E-2</v>
      </c>
    </row>
    <row r="103" spans="1:31" x14ac:dyDescent="0.2">
      <c r="A103">
        <v>0.01</v>
      </c>
      <c r="B103">
        <v>0.99</v>
      </c>
      <c r="C103">
        <v>0.05</v>
      </c>
      <c r="D103">
        <v>0.1</v>
      </c>
      <c r="E103" s="2">
        <f t="shared" si="73"/>
        <v>0.30602558127136659</v>
      </c>
      <c r="F103">
        <f t="shared" si="74"/>
        <v>0.5120511625427332</v>
      </c>
      <c r="G103">
        <f t="shared" si="75"/>
        <v>-0.20140751235515075</v>
      </c>
      <c r="H103">
        <f t="shared" si="76"/>
        <v>0.69718497528969825</v>
      </c>
      <c r="I103">
        <f t="shared" si="77"/>
        <v>6.6506395317841652E-2</v>
      </c>
      <c r="J103">
        <f t="shared" si="96"/>
        <v>0.51662047311228243</v>
      </c>
      <c r="K103">
        <f t="shared" si="78"/>
        <v>5.9648121911212292E-2</v>
      </c>
      <c r="L103">
        <f t="shared" si="97"/>
        <v>0.5149076107594468</v>
      </c>
      <c r="M103">
        <f t="shared" si="79"/>
        <v>-0.22242363368176574</v>
      </c>
      <c r="N103">
        <f t="shared" si="80"/>
        <v>-0.92150416736902552</v>
      </c>
      <c r="O103">
        <f t="shared" si="81"/>
        <v>0.74390743514752744</v>
      </c>
      <c r="P103">
        <f t="shared" si="82"/>
        <v>-0.45736079757959763</v>
      </c>
      <c r="Q103">
        <f t="shared" si="83"/>
        <v>-0.58939811198888514</v>
      </c>
      <c r="R103">
        <f t="shared" si="98"/>
        <v>0.35677296727758384</v>
      </c>
      <c r="S103">
        <f t="shared" si="84"/>
        <v>0.14881925556091458</v>
      </c>
      <c r="T103">
        <f t="shared" si="99"/>
        <v>0.5371363005099189</v>
      </c>
      <c r="U103">
        <f t="shared" si="85"/>
        <v>6.0125745417250111E-2</v>
      </c>
      <c r="V103">
        <f t="shared" si="86"/>
        <v>0.10254276515792124</v>
      </c>
      <c r="W103" s="3">
        <f t="shared" si="87"/>
        <v>0.16266851057517134</v>
      </c>
      <c r="X103" s="2">
        <f t="shared" si="88"/>
        <v>-1.2668228564842584E-3</v>
      </c>
      <c r="Y103">
        <f t="shared" si="89"/>
        <v>-2.5336457129685169E-3</v>
      </c>
      <c r="Z103">
        <f t="shared" si="90"/>
        <v>-2.7273236054006528E-4</v>
      </c>
      <c r="AA103">
        <f t="shared" si="91"/>
        <v>-5.4546472108013056E-4</v>
      </c>
      <c r="AB103" s="1">
        <f t="shared" si="92"/>
        <v>4.1112423271636438E-2</v>
      </c>
      <c r="AC103" s="1">
        <f t="shared" si="93"/>
        <v>4.0976114461357203E-2</v>
      </c>
      <c r="AD103" s="1">
        <f t="shared" si="94"/>
        <v>-5.8167011158649605E-2</v>
      </c>
      <c r="AE103" s="1">
        <f t="shared" si="95"/>
        <v>-5.7974157625396448E-2</v>
      </c>
    </row>
    <row r="104" spans="1:31" x14ac:dyDescent="0.2">
      <c r="A104">
        <v>0.01</v>
      </c>
      <c r="B104">
        <v>0.99</v>
      </c>
      <c r="C104">
        <v>0.05</v>
      </c>
      <c r="D104">
        <v>0.1</v>
      </c>
      <c r="E104" s="2">
        <f t="shared" si="73"/>
        <v>0.30615226355701503</v>
      </c>
      <c r="F104">
        <f t="shared" si="74"/>
        <v>0.51230452711403007</v>
      </c>
      <c r="G104">
        <f t="shared" si="75"/>
        <v>-0.20138023911909675</v>
      </c>
      <c r="H104">
        <f t="shared" si="76"/>
        <v>0.69723952176180626</v>
      </c>
      <c r="I104">
        <f t="shared" si="77"/>
        <v>6.6538065889253761E-2</v>
      </c>
      <c r="J104">
        <f t="shared" si="96"/>
        <v>0.51662838200228911</v>
      </c>
      <c r="K104">
        <f t="shared" si="78"/>
        <v>5.9654940220225793E-2</v>
      </c>
      <c r="L104">
        <f t="shared" si="97"/>
        <v>0.51490931382124749</v>
      </c>
      <c r="M104">
        <f t="shared" si="79"/>
        <v>-0.22653487600892938</v>
      </c>
      <c r="N104">
        <f t="shared" si="80"/>
        <v>-0.92560177881516126</v>
      </c>
      <c r="O104">
        <f t="shared" si="81"/>
        <v>0.7497241362633924</v>
      </c>
      <c r="P104">
        <f t="shared" si="82"/>
        <v>-0.45156338181705796</v>
      </c>
      <c r="Q104">
        <f t="shared" si="83"/>
        <v>-0.59363532326102308</v>
      </c>
      <c r="R104">
        <f t="shared" si="98"/>
        <v>0.35580117775582776</v>
      </c>
      <c r="S104">
        <f t="shared" si="84"/>
        <v>0.15481457638759683</v>
      </c>
      <c r="T104">
        <f t="shared" si="99"/>
        <v>0.53862652628718077</v>
      </c>
      <c r="U104">
        <f t="shared" si="85"/>
        <v>5.978922726865879E-2</v>
      </c>
      <c r="V104">
        <f t="shared" si="86"/>
        <v>0.10186900638578855</v>
      </c>
      <c r="W104" s="3">
        <f t="shared" si="87"/>
        <v>0.16165823365444734</v>
      </c>
      <c r="X104" s="2">
        <f t="shared" si="88"/>
        <v>-1.2742345591379525E-3</v>
      </c>
      <c r="Y104">
        <f t="shared" si="89"/>
        <v>-2.548469118275905E-3</v>
      </c>
      <c r="Z104">
        <f t="shared" si="90"/>
        <v>-2.8363909435851067E-4</v>
      </c>
      <c r="AA104">
        <f t="shared" si="91"/>
        <v>-5.6727818871702134E-4</v>
      </c>
      <c r="AB104" s="1">
        <f t="shared" si="92"/>
        <v>4.0947938017658302E-2</v>
      </c>
      <c r="AC104" s="1">
        <f t="shared" si="93"/>
        <v>4.0811684765267094E-2</v>
      </c>
      <c r="AD104" s="1">
        <f t="shared" si="94"/>
        <v>-5.7950161878592726E-2</v>
      </c>
      <c r="AE104" s="1">
        <f t="shared" si="95"/>
        <v>-5.7757334146237793E-2</v>
      </c>
    </row>
    <row r="105" spans="1:31" x14ac:dyDescent="0.2">
      <c r="A105">
        <v>0.01</v>
      </c>
      <c r="B105">
        <v>0.99</v>
      </c>
      <c r="C105">
        <v>0.05</v>
      </c>
      <c r="D105">
        <v>0.1</v>
      </c>
      <c r="E105" s="2">
        <f t="shared" si="73"/>
        <v>0.30627968701292885</v>
      </c>
      <c r="F105">
        <f t="shared" si="74"/>
        <v>0.51255937402585772</v>
      </c>
      <c r="G105">
        <f t="shared" si="75"/>
        <v>-0.20135187520966089</v>
      </c>
      <c r="H105">
        <f t="shared" si="76"/>
        <v>0.69729624958067793</v>
      </c>
      <c r="I105">
        <f t="shared" si="77"/>
        <v>6.6569921753232217E-2</v>
      </c>
      <c r="J105">
        <f t="shared" si="96"/>
        <v>0.51663633715582435</v>
      </c>
      <c r="K105">
        <f t="shared" si="78"/>
        <v>5.9662031197584751E-2</v>
      </c>
      <c r="L105">
        <f t="shared" si="97"/>
        <v>0.51491108498916338</v>
      </c>
      <c r="M105">
        <f t="shared" si="79"/>
        <v>-0.23062966981069521</v>
      </c>
      <c r="N105">
        <f t="shared" si="80"/>
        <v>-0.92968294729168799</v>
      </c>
      <c r="O105">
        <f t="shared" si="81"/>
        <v>0.75551915245125167</v>
      </c>
      <c r="P105">
        <f t="shared" si="82"/>
        <v>-0.44578764840243418</v>
      </c>
      <c r="Q105">
        <f t="shared" si="83"/>
        <v>-0.59785572293634104</v>
      </c>
      <c r="R105">
        <f t="shared" si="98"/>
        <v>0.35483442365393925</v>
      </c>
      <c r="S105">
        <f t="shared" si="84"/>
        <v>0.16078764585982244</v>
      </c>
      <c r="T105">
        <f t="shared" si="99"/>
        <v>0.5401105349835772</v>
      </c>
      <c r="U105">
        <f t="shared" si="85"/>
        <v>5.9455389868372226E-2</v>
      </c>
      <c r="V105">
        <f t="shared" si="86"/>
        <v>0.10120026536638156</v>
      </c>
      <c r="W105" s="3">
        <f t="shared" si="87"/>
        <v>0.16065565523475378</v>
      </c>
      <c r="X105" s="2">
        <f t="shared" si="88"/>
        <v>-1.2815112033228056E-3</v>
      </c>
      <c r="Y105">
        <f t="shared" si="89"/>
        <v>-2.5630224066456112E-3</v>
      </c>
      <c r="Z105">
        <f t="shared" si="90"/>
        <v>-2.9442299196402852E-4</v>
      </c>
      <c r="AA105">
        <f t="shared" si="91"/>
        <v>-5.8884598392805704E-4</v>
      </c>
      <c r="AB105" s="1">
        <f t="shared" si="92"/>
        <v>4.0784251346316018E-2</v>
      </c>
      <c r="AC105" s="1">
        <f t="shared" si="93"/>
        <v>4.0648056671376512E-2</v>
      </c>
      <c r="AD105" s="1">
        <f t="shared" si="94"/>
        <v>-5.7733366375398075E-2</v>
      </c>
      <c r="AE105" s="1">
        <f t="shared" si="95"/>
        <v>-5.7540571931290391E-2</v>
      </c>
    </row>
    <row r="108" spans="1:31" x14ac:dyDescent="0.2">
      <c r="B108" t="s">
        <v>33</v>
      </c>
    </row>
    <row r="109" spans="1:31" x14ac:dyDescent="0.2">
      <c r="A109" t="s">
        <v>65</v>
      </c>
      <c r="B109" t="s">
        <v>66</v>
      </c>
      <c r="C109" t="s">
        <v>67</v>
      </c>
      <c r="D109" t="s">
        <v>68</v>
      </c>
      <c r="E109" t="s">
        <v>69</v>
      </c>
      <c r="F109" t="s">
        <v>70</v>
      </c>
      <c r="G109" t="s">
        <v>71</v>
      </c>
    </row>
    <row r="110" spans="1:31" x14ac:dyDescent="0.2">
      <c r="B110">
        <v>0.25123100378328034</v>
      </c>
      <c r="C110">
        <v>0.25123100378328034</v>
      </c>
      <c r="D110">
        <v>0.25123100378328034</v>
      </c>
      <c r="E110">
        <v>0.25123100378328034</v>
      </c>
      <c r="F110">
        <v>0.25123100378328034</v>
      </c>
      <c r="G110">
        <v>0.25123100378328034</v>
      </c>
    </row>
    <row r="111" spans="1:31" x14ac:dyDescent="0.2">
      <c r="B111">
        <v>0.24963200963688148</v>
      </c>
      <c r="C111">
        <v>0.24803743494936087</v>
      </c>
      <c r="D111">
        <v>0.24328063170651582</v>
      </c>
      <c r="E111">
        <v>0.23856504382363847</v>
      </c>
      <c r="F111">
        <v>0.23544473500905203</v>
      </c>
      <c r="G111">
        <v>0.22013536541088657</v>
      </c>
    </row>
    <row r="112" spans="1:31" x14ac:dyDescent="0.2">
      <c r="B112">
        <v>0.24804180648990798</v>
      </c>
      <c r="C112">
        <v>0.24487916150135888</v>
      </c>
      <c r="D112">
        <v>0.23555316880705232</v>
      </c>
      <c r="E112">
        <v>0.22647506959622532</v>
      </c>
      <c r="F112">
        <v>0.22056349486372151</v>
      </c>
      <c r="G112">
        <v>0.19273633276209581</v>
      </c>
    </row>
    <row r="113" spans="2:7" x14ac:dyDescent="0.2">
      <c r="B113">
        <v>0.24646042008544122</v>
      </c>
      <c r="C113">
        <v>0.24175637447747683</v>
      </c>
      <c r="D113">
        <v>0.22805090207285567</v>
      </c>
      <c r="E113">
        <v>0.21496761243214618</v>
      </c>
      <c r="F113">
        <v>0.20659639350729275</v>
      </c>
      <c r="G113">
        <v>0.16896896291174843</v>
      </c>
    </row>
    <row r="114" spans="2:7" x14ac:dyDescent="0.2">
      <c r="B114">
        <v>0.24488787461065192</v>
      </c>
      <c r="C114">
        <v>0.23866924010738469</v>
      </c>
      <c r="D114">
        <v>0.22077516763258231</v>
      </c>
      <c r="E114">
        <v>0.20404316760532115</v>
      </c>
      <c r="F114">
        <v>0.19353821726042364</v>
      </c>
      <c r="G114">
        <v>0.1485858668878427</v>
      </c>
    </row>
    <row r="115" spans="2:7" x14ac:dyDescent="0.2">
      <c r="B115">
        <v>0.24332419270179823</v>
      </c>
      <c r="C115">
        <v>0.23561790002216021</v>
      </c>
      <c r="D115">
        <v>0.21372638515183423</v>
      </c>
      <c r="E115">
        <v>0.19369668270158519</v>
      </c>
      <c r="F115">
        <v>0.18137113916430289</v>
      </c>
      <c r="G115">
        <v>0.13122959320149896</v>
      </c>
    </row>
    <row r="116" spans="2:7" x14ac:dyDescent="0.2">
      <c r="B116">
        <v>0.24176939544996245</v>
      </c>
      <c r="C116">
        <v>0.23260247151027225</v>
      </c>
      <c r="D116">
        <v>0.20690410198632597</v>
      </c>
      <c r="E116">
        <v>0.1839181742478106</v>
      </c>
      <c r="F116">
        <v>0.17006681640358551</v>
      </c>
      <c r="G116">
        <v>0.11649976279993243</v>
      </c>
    </row>
    <row r="117" spans="2:7" x14ac:dyDescent="0.2">
      <c r="B117">
        <v>0.24022350240752005</v>
      </c>
      <c r="C117">
        <v>0.22962304781828519</v>
      </c>
      <c r="D117">
        <v>0.20030704575339395</v>
      </c>
      <c r="E117">
        <v>0.17469342959230824</v>
      </c>
      <c r="F117">
        <v>0.15958866570099658</v>
      </c>
      <c r="G117">
        <v>0.10400187469132857</v>
      </c>
    </row>
    <row r="118" spans="2:7" x14ac:dyDescent="0.2">
      <c r="B118">
        <v>0.23868653159533054</v>
      </c>
      <c r="C118">
        <v>0.22667969849473107</v>
      </c>
      <c r="D118">
        <v>0.19393318379526331</v>
      </c>
      <c r="E118">
        <v>0.16600475012262567</v>
      </c>
      <c r="F118">
        <v>0.14989412537161886</v>
      </c>
      <c r="G118">
        <v>9.3375747489364697E-2</v>
      </c>
    </row>
    <row r="119" spans="2:7" x14ac:dyDescent="0.2">
      <c r="B119">
        <v>0.23715849951064344</v>
      </c>
      <c r="C119">
        <v>0.22377246977538767</v>
      </c>
      <c r="D119">
        <v>0.18777978790450517</v>
      </c>
      <c r="E119">
        <v>0.15783169559233057</v>
      </c>
      <c r="F119">
        <v>0.14093675395098185</v>
      </c>
      <c r="G119">
        <v>8.4307850295335399E-2</v>
      </c>
    </row>
    <row r="120" spans="2:7" x14ac:dyDescent="0.2">
      <c r="B120">
        <v>0.23563942113570746</v>
      </c>
      <c r="C120">
        <v>0.22090138500800988</v>
      </c>
      <c r="D120">
        <v>0.18184350265969862</v>
      </c>
      <c r="E120">
        <v>0.15015179614441843</v>
      </c>
      <c r="F120">
        <v>0.13266806615996823</v>
      </c>
      <c r="G120">
        <v>7.6533306407984322E-2</v>
      </c>
    </row>
    <row r="121" spans="2:7" x14ac:dyDescent="0.2">
      <c r="B121">
        <v>0.23412930994707065</v>
      </c>
      <c r="C121">
        <v>0.21806644511438916</v>
      </c>
      <c r="D121">
        <v>0.17612041576809145</v>
      </c>
      <c r="E121">
        <v>0.14294120701246235</v>
      </c>
      <c r="F121">
        <v>0.1250390560201394</v>
      </c>
      <c r="G121">
        <v>6.9832383122686303E-2</v>
      </c>
    </row>
    <row r="122" spans="2:7" x14ac:dyDescent="0.2">
      <c r="B122">
        <v>0.23262817792556245</v>
      </c>
      <c r="C122">
        <v>0.21526762908747304</v>
      </c>
      <c r="D122">
        <v>0.17060612891947252</v>
      </c>
      <c r="E122">
        <v>0.13617528950244306</v>
      </c>
      <c r="F122">
        <v>0.11800139714158758</v>
      </c>
      <c r="G122">
        <v>6.4024671068194372E-2</v>
      </c>
    </row>
    <row r="123" spans="2:7" x14ac:dyDescent="0.2">
      <c r="B123">
        <v>0.23113603556694121</v>
      </c>
      <c r="C123">
        <v>0.21250489452114663</v>
      </c>
      <c r="D123">
        <v>0.16529582780725255</v>
      </c>
      <c r="E123">
        <v>0.12982910972227452</v>
      </c>
      <c r="F123">
        <v>0.11150833877202847</v>
      </c>
      <c r="G123">
        <v>5.8962781740664383E-2</v>
      </c>
    </row>
    <row r="124" spans="2:7" x14ac:dyDescent="0.2">
      <c r="B124">
        <v>0.22965289189319624</v>
      </c>
      <c r="C124">
        <v>0.2097781781701768</v>
      </c>
      <c r="D124">
        <v>0.16018435015440746</v>
      </c>
      <c r="E124">
        <v>0.12387785304526787</v>
      </c>
      <c r="F124">
        <v>0.10551533341421135</v>
      </c>
      <c r="G124">
        <v>5.4526464569960943E-2</v>
      </c>
    </row>
    <row r="125" spans="2:7" x14ac:dyDescent="0.2">
      <c r="B125">
        <v>0.22817875446448765</v>
      </c>
      <c r="C125">
        <v>0.20708739653773964</v>
      </c>
      <c r="D125">
        <v>0.15526625077980338</v>
      </c>
      <c r="E125">
        <v>0.11829715723185275</v>
      </c>
      <c r="F125">
        <v>9.9980439702291868E-2</v>
      </c>
      <c r="G125">
        <v>5.061750097102008E-2</v>
      </c>
    </row>
    <row r="126" spans="2:7" x14ac:dyDescent="0.2">
      <c r="B126">
        <v>0.2267136293917105</v>
      </c>
      <c r="C126">
        <v>0.20443244648789</v>
      </c>
      <c r="D126">
        <v>0.15053586294251164</v>
      </c>
      <c r="E126">
        <v>0.11306337051544055</v>
      </c>
      <c r="F126">
        <v>9.4864545382299534E-2</v>
      </c>
      <c r="G126">
        <v>4.7155447532859843E-2</v>
      </c>
    </row>
    <row r="127" spans="2:7" x14ac:dyDescent="0.2">
      <c r="B127">
        <v>0.22525752134966653</v>
      </c>
      <c r="C127">
        <v>0.20181320588029852</v>
      </c>
      <c r="D127">
        <v>0.14598735539814911</v>
      </c>
      <c r="E127">
        <v>0.10815374297125872</v>
      </c>
      <c r="F127">
        <v>9.0131452143476759E-2</v>
      </c>
      <c r="G127">
        <v>4.4074168395745197E-2</v>
      </c>
    </row>
    <row r="128" spans="2:7" x14ac:dyDescent="0.2">
      <c r="B128">
        <v>0.22381043359082628</v>
      </c>
      <c r="C128">
        <v>0.19922953422455958</v>
      </c>
      <c r="D128">
        <v>0.14161478478451589</v>
      </c>
      <c r="E128">
        <v>0.10354656039791887</v>
      </c>
      <c r="F128">
        <v>8.5747858692460488E-2</v>
      </c>
      <c r="G128">
        <v>4.1319047504192782E-2</v>
      </c>
    </row>
    <row r="129" spans="2:7" x14ac:dyDescent="0.2">
      <c r="B129">
        <v>0.22237236795966631</v>
      </c>
      <c r="C129">
        <v>0.19668127335138119</v>
      </c>
      <c r="D129">
        <v>0.13741214311856687</v>
      </c>
      <c r="E129">
        <v>9.9221230033434915E-2</v>
      </c>
      <c r="F129">
        <v>8.1683272277132568E-2</v>
      </c>
      <c r="G129">
        <v>3.8844762996506882E-2</v>
      </c>
    </row>
    <row r="130" spans="2:7" x14ac:dyDescent="0.2">
      <c r="B130">
        <v>0.22094332490756149</v>
      </c>
      <c r="C130">
        <v>0.19416824809798447</v>
      </c>
      <c r="D130">
        <v>0.13337340032987763</v>
      </c>
      <c r="E130">
        <v>9.5158326960570888E-2</v>
      </c>
      <c r="F130">
        <v>7.7909872761733834E-2</v>
      </c>
      <c r="G130">
        <v>3.6613515596378009E-2</v>
      </c>
    </row>
    <row r="131" spans="2:7" x14ac:dyDescent="0.2">
      <c r="B131">
        <v>0.21952330350821628</v>
      </c>
      <c r="C131">
        <v>0.19169026700508029</v>
      </c>
      <c r="D131">
        <v>0.12949254187584547</v>
      </c>
      <c r="E131">
        <v>9.1339609248035608E-2</v>
      </c>
      <c r="F131">
        <v>7.440234783744791E-2</v>
      </c>
      <c r="G131">
        <v>3.459361878083711E-2</v>
      </c>
    </row>
    <row r="132" spans="2:7" x14ac:dyDescent="0.2">
      <c r="B132">
        <v>0.21811230147361468</v>
      </c>
      <c r="C132">
        <v>0.18924712302284574</v>
      </c>
      <c r="D132">
        <v>0.12576360158094119</v>
      </c>
      <c r="E132">
        <v>8.7748008892251927E-2</v>
      </c>
      <c r="F132">
        <v>7.1137713249345702E-2</v>
      </c>
      <c r="G132">
        <v>3.2758375148212872E-2</v>
      </c>
    </row>
    <row r="133" spans="2:7" x14ac:dyDescent="0.2">
      <c r="B133">
        <v>0.21671031517047096</v>
      </c>
      <c r="C133">
        <v>0.18683859422338808</v>
      </c>
      <c r="D133">
        <v>0.12218068991750651</v>
      </c>
      <c r="E133">
        <v>8.4367604590429662E-2</v>
      </c>
      <c r="F133">
        <v>6.8095128078751566E-2</v>
      </c>
      <c r="G133">
        <v>3.1085178454933228E-2</v>
      </c>
    </row>
    <row r="134" spans="2:7" x14ac:dyDescent="0.2">
      <c r="B134">
        <v>0.21531733963716077</v>
      </c>
      <c r="C134">
        <v>0.18446444451726682</v>
      </c>
      <c r="D134">
        <v>0.11873801800073716</v>
      </c>
      <c r="E134">
        <v>8.1183581370606078E-2</v>
      </c>
      <c r="F134">
        <v>6.525571208553313E-2</v>
      </c>
      <c r="G134">
        <v>2.9554793475955778E-2</v>
      </c>
    </row>
    <row r="135" spans="2:7" x14ac:dyDescent="0.2">
      <c r="B135">
        <v>0.21393336860111356</v>
      </c>
      <c r="C135">
        <v>0.18212442437173676</v>
      </c>
      <c r="D135">
        <v>0.11542991760790633</v>
      </c>
      <c r="E135">
        <v>7.8182181177574875E-2</v>
      </c>
      <c r="F135">
        <v>6.2602369784469841E-2</v>
      </c>
      <c r="G135">
        <v>2.8150776144587025E-2</v>
      </c>
    </row>
    <row r="136" spans="2:7" x14ac:dyDescent="0.2">
      <c r="B136">
        <v>0.21255839449664604</v>
      </c>
      <c r="C136">
        <v>0.17981827152847574</v>
      </c>
      <c r="D136">
        <v>0.11225085755410051</v>
      </c>
      <c r="E136">
        <v>7.5350647691040315E-2</v>
      </c>
      <c r="F136">
        <v>6.0119624184904914E-2</v>
      </c>
      <c r="G136">
        <v>2.6859004611793667E-2</v>
      </c>
    </row>
    <row r="137" spans="2:7" x14ac:dyDescent="0.2">
      <c r="B137">
        <v>0.21119240848321552</v>
      </c>
      <c r="C137">
        <v>0.17754571171867262</v>
      </c>
      <c r="D137">
        <v>0.1091954567663169</v>
      </c>
      <c r="E137">
        <v>7.2677167943278803E-2</v>
      </c>
      <c r="F137">
        <v>5.7793461847661765E-2</v>
      </c>
      <c r="G137">
        <v>2.5667298285857468E-2</v>
      </c>
    </row>
    <row r="138" spans="2:7" x14ac:dyDescent="0.2">
      <c r="B138">
        <v>0.20983540046407384</v>
      </c>
      <c r="C138">
        <v>0.17530645937346501</v>
      </c>
      <c r="D138">
        <v>0.10625849439715297</v>
      </c>
      <c r="E138">
        <v>7.0150812706698748E-2</v>
      </c>
      <c r="F138">
        <v>5.561119000461183E-2</v>
      </c>
      <c r="G138">
        <v>2.4565106914870578E-2</v>
      </c>
    </row>
    <row r="139" spans="2:7" x14ac:dyDescent="0.2">
      <c r="B139">
        <v>0.20848735910530081</v>
      </c>
      <c r="C139">
        <v>0.1731002183278435</v>
      </c>
      <c r="D139">
        <v>0.10343491731077802</v>
      </c>
      <c r="E139">
        <v>6.776147712913029E-2</v>
      </c>
      <c r="F139">
        <v>5.3561305857351416E-2</v>
      </c>
      <c r="G139">
        <v>2.3543255657309699E-2</v>
      </c>
    </row>
    <row r="140" spans="2:7" x14ac:dyDescent="0.2">
      <c r="B140">
        <v>0.20714827185519519</v>
      </c>
      <c r="C140">
        <v>0.17092668251625981</v>
      </c>
      <c r="D140">
        <v>0.10071984525940436</v>
      </c>
      <c r="E140">
        <v>6.5499822695274712E-2</v>
      </c>
      <c r="F140">
        <v>5.163337775157871E-2</v>
      </c>
      <c r="G140">
        <v>2.2593735096961273E-2</v>
      </c>
    </row>
    <row r="141" spans="2:7" x14ac:dyDescent="0.2">
      <c r="B141">
        <v>0.20581812496400415</v>
      </c>
      <c r="C141">
        <v>0.16878553665831053</v>
      </c>
      <c r="D141">
        <v>9.8108574049826883E-2</v>
      </c>
      <c r="E141">
        <v>6.3357221274007947E-2</v>
      </c>
      <c r="F141">
        <v>4.9817937657254452E-2</v>
      </c>
      <c r="G141">
        <v>2.1709527494968513E-2</v>
      </c>
    </row>
    <row r="142" spans="2:7" x14ac:dyDescent="0.2">
      <c r="B142">
        <v>0.20449690350396882</v>
      </c>
      <c r="C142">
        <v>0.16667645693299482</v>
      </c>
      <c r="D142">
        <v>9.5596576978216274E-2</v>
      </c>
      <c r="E142">
        <v>6.1325701760746296E-2</v>
      </c>
      <c r="F142">
        <v>4.8106384228485566E-2</v>
      </c>
      <c r="G142">
        <v>2.0884462388068577E-2</v>
      </c>
    </row>
    <row r="143" spans="2:7" x14ac:dyDescent="0.2">
      <c r="B143">
        <v>0.20318459138966571</v>
      </c>
      <c r="C143">
        <v>0.16459911164017749</v>
      </c>
      <c r="D143">
        <v>9.3179504788443501E-2</v>
      </c>
      <c r="E143">
        <v>5.939789963022267E-2</v>
      </c>
      <c r="F143">
        <v>4.6490895638740815E-2</v>
      </c>
      <c r="G143">
        <v>2.0113096057652269E-2</v>
      </c>
    </row>
    <row r="144" spans="2:7" x14ac:dyDescent="0.2">
      <c r="B144">
        <v>0.20188117139862219</v>
      </c>
      <c r="C144">
        <v>0.16255316184801849</v>
      </c>
      <c r="D144">
        <v>9.0853184385718669E-2</v>
      </c>
      <c r="E144">
        <v>5.7567009567415214E-2</v>
      </c>
      <c r="F144">
        <v>4.496435136221532E-2</v>
      </c>
      <c r="G144">
        <v>1.939061050098723E-2</v>
      </c>
    </row>
    <row r="145" spans="2:7" x14ac:dyDescent="0.2">
      <c r="B145">
        <v>0.20058662519218662</v>
      </c>
      <c r="C145">
        <v>0.16053826202525892</v>
      </c>
      <c r="D145">
        <v>8.8613616513994214E-2</v>
      </c>
      <c r="E145">
        <v>5.5826741234001255E-2</v>
      </c>
      <c r="F145">
        <v>4.3520262083096117E-2</v>
      </c>
      <c r="G145">
        <v>1.8712728404235032E-2</v>
      </c>
    </row>
    <row r="146" spans="2:7" x14ac:dyDescent="0.2">
      <c r="B146">
        <v>0.19930093333663068</v>
      </c>
      <c r="C146">
        <v>0.15855406065737909</v>
      </c>
      <c r="D146">
        <v>8.645697258294964E-2</v>
      </c>
      <c r="E146">
        <v>5.417127814695509E-2</v>
      </c>
      <c r="F146">
        <v>4.2152706948253141E-2</v>
      </c>
      <c r="G146">
        <v>1.8075641300697616E-2</v>
      </c>
    </row>
    <row r="147" spans="2:7" x14ac:dyDescent="0.2">
      <c r="B147">
        <v>0.19802407532446484</v>
      </c>
      <c r="C147">
        <v>0.15660020084576767</v>
      </c>
      <c r="D147">
        <v>8.4379590808841998E-2</v>
      </c>
      <c r="E147">
        <v>5.2595239588413112E-2</v>
      </c>
      <c r="F147">
        <v>4.0856277426300831E-2</v>
      </c>
      <c r="G147">
        <v>1.7475948638369425E-2</v>
      </c>
    </row>
    <row r="148" spans="2:7" x14ac:dyDescent="0.2">
      <c r="B148">
        <v>0.19675602959594463</v>
      </c>
      <c r="C148">
        <v>0.15467632088916181</v>
      </c>
      <c r="D148">
        <v>8.2377971813331369E-2</v>
      </c>
      <c r="E148">
        <v>5.1093645426497816E-2</v>
      </c>
      <c r="F148">
        <v>3.9626027090627923E-2</v>
      </c>
      <c r="G148">
        <v>1.691060591004033E-2</v>
      </c>
    </row>
    <row r="149" spans="2:7" x14ac:dyDescent="0.2">
      <c r="B149">
        <v>0.19549677356074949</v>
      </c>
      <c r="C149">
        <v>0.15278205484672977</v>
      </c>
      <c r="D149">
        <v>8.044877380573387E-2</v>
      </c>
      <c r="E149">
        <v>4.9661883701214271E-2</v>
      </c>
      <c r="F149">
        <v>3.8457426701458547E-2</v>
      </c>
      <c r="G149">
        <v>1.6376880341265245E-2</v>
      </c>
    </row>
    <row r="150" spans="2:7" x14ac:dyDescent="0.2">
      <c r="B150">
        <v>0.19424628361981292</v>
      </c>
      <c r="C150">
        <v>0.15091703308228066</v>
      </c>
      <c r="D150">
        <v>7.8588807457093041E-2</v>
      </c>
      <c r="E150">
        <v>4.8295680814442091E-2</v>
      </c>
      <c r="F150">
        <v>3.7346324019357266E-2</v>
      </c>
      <c r="G150">
        <v>1.5872312905272638E-2</v>
      </c>
    </row>
    <row r="151" spans="2:7" x14ac:dyDescent="0.2">
      <c r="B151">
        <v>0.19300453518728355</v>
      </c>
      <c r="C151">
        <v>0.14908088278919013</v>
      </c>
      <c r="D151">
        <v>7.6795030559009436E-2</v>
      </c>
      <c r="E151">
        <v>4.6991074155776566E-2</v>
      </c>
      <c r="F151">
        <v>3.6288907837929485E-2</v>
      </c>
      <c r="G151">
        <v>1.5394685653856873E-2</v>
      </c>
    </row>
    <row r="152" spans="2:7" x14ac:dyDescent="0.2">
      <c r="B152">
        <v>0.19177150271259991</v>
      </c>
      <c r="C152">
        <v>0.14727322849572894</v>
      </c>
      <c r="D152">
        <v>7.5064542546290927E-2</v>
      </c>
      <c r="E152">
        <v>4.5744386994437454E-2</v>
      </c>
      <c r="F152">
        <v>3.5281675775659625E-2</v>
      </c>
      <c r="G152">
        <v>1.4941993530761425E-2</v>
      </c>
    </row>
    <row r="153" spans="2:7" x14ac:dyDescent="0.2">
      <c r="B153">
        <v>0.19054715970265623</v>
      </c>
      <c r="C153">
        <v>0.14549369255057673</v>
      </c>
      <c r="D153">
        <v>7.3394578950128603E-2</v>
      </c>
      <c r="E153">
        <v>4.4552205470029138E-2</v>
      </c>
      <c r="F153">
        <v>3.4321405415242943E-2</v>
      </c>
      <c r="G153">
        <v>1.4512419977790285E-2</v>
      </c>
    </row>
    <row r="154" spans="2:7" x14ac:dyDescent="0.2">
      <c r="B154">
        <v>0.1893314787440441</v>
      </c>
      <c r="C154">
        <v>0.14374189558839096</v>
      </c>
      <c r="D154">
        <v>7.1782505837561947E-2</v>
      </c>
      <c r="E154">
        <v>4.3411357520359545E-2</v>
      </c>
      <c r="F154">
        <v>3.3405128423136254E-2</v>
      </c>
      <c r="G154">
        <v>1.4104315760744663E-2</v>
      </c>
    </row>
    <row r="155" spans="2:7" x14ac:dyDescent="0.2">
      <c r="B155">
        <v>0.18812443152534836</v>
      </c>
      <c r="C155">
        <v>0.14201745697538126</v>
      </c>
      <c r="D155">
        <v>7.0225814283390031E-2</v>
      </c>
      <c r="E155">
        <v>4.2318893591845541E-2</v>
      </c>
      <c r="F155">
        <v>3.2530107322345951E-2</v>
      </c>
      <c r="G155">
        <v>1.3716180537654617E-2</v>
      </c>
    </row>
    <row r="156" spans="2:7" x14ac:dyDescent="0.2">
      <c r="B156">
        <v>0.18692598885948108</v>
      </c>
      <c r="C156">
        <v>0.14031999523491862</v>
      </c>
      <c r="D156">
        <v>6.8722114912286705E-2</v>
      </c>
      <c r="E156">
        <v>4.1272068986531525E-2</v>
      </c>
      <c r="F156">
        <v>3.169381462780374E-2</v>
      </c>
      <c r="G156">
        <v>1.3346646769898739E-2</v>
      </c>
    </row>
    <row r="157" spans="2:7" x14ac:dyDescent="0.2">
      <c r="B157">
        <v>0.18573612070603451</v>
      </c>
      <c r="C157">
        <v>0.13864912845327471</v>
      </c>
      <c r="D157">
        <v>6.7269132541590393E-2</v>
      </c>
      <c r="E157">
        <v>4.0268327708892285E-2</v>
      </c>
      <c r="F157">
        <v>3.0893914086269965E-2</v>
      </c>
      <c r="G157">
        <v>1.2994465641029249E-2</v>
      </c>
    </row>
    <row r="158" spans="2:7" x14ac:dyDescent="0.2">
      <c r="B158">
        <v>0.18455479619363641</v>
      </c>
      <c r="C158">
        <v>0.13700447466565535</v>
      </c>
      <c r="D158">
        <v>6.5864700948947363E-2</v>
      </c>
      <c r="E158">
        <v>3.9305287684982856E-2</v>
      </c>
      <c r="F158">
        <v>3.0128243791810713E-2</v>
      </c>
      <c r="G158">
        <v>1.2658494701104962E-2</v>
      </c>
    </row>
    <row r="159" spans="2:7" x14ac:dyDescent="0.2">
      <c r="B159">
        <v>0.1833819836422903</v>
      </c>
      <c r="C159">
        <v>0.13538565222274648</v>
      </c>
      <c r="D159">
        <v>6.4506757783585972E-2</v>
      </c>
      <c r="E159">
        <v>3.8380727235858988E-2</v>
      </c>
      <c r="F159">
        <v>2.9394800973810593E-2</v>
      </c>
      <c r="G159">
        <v>1.2337686998194937E-2</v>
      </c>
    </row>
    <row r="160" spans="2:7" x14ac:dyDescent="0.2">
      <c r="B160">
        <v>0.18221765058568506</v>
      </c>
      <c r="C160">
        <v>0.13379228013804617</v>
      </c>
      <c r="D160">
        <v>6.319333963539342E-2</v>
      </c>
      <c r="E160">
        <v>3.7492572696319365E-2</v>
      </c>
      <c r="F160">
        <v>2.8691728277498343E-2</v>
      </c>
      <c r="G160">
        <v>1.2031081495144497E-2</v>
      </c>
    </row>
    <row r="161" spans="2:7" x14ac:dyDescent="0.2">
      <c r="B161">
        <v>0.18106176379345573</v>
      </c>
      <c r="C161">
        <v>0.1322239784163029</v>
      </c>
      <c r="D161">
        <v>6.1922577272057994E-2</v>
      </c>
      <c r="E161">
        <v>3.6638887078782489E-2</v>
      </c>
      <c r="F161">
        <v>2.8017301377367718E-2</v>
      </c>
      <c r="G161">
        <v>1.1737794600051102E-2</v>
      </c>
    </row>
    <row r="162" spans="2:7" x14ac:dyDescent="0.2">
      <c r="B162">
        <v>0.17991428929338255</v>
      </c>
      <c r="C162">
        <v>0.13068036836342289</v>
      </c>
      <c r="D162">
        <v>6.0692691051248575E-2</v>
      </c>
      <c r="E162">
        <v>3.5817859690422962E-2</v>
      </c>
      <c r="F162">
        <v>2.7369917781938154E-2</v>
      </c>
      <c r="G162">
        <v>1.1457012664268629E-2</v>
      </c>
    </row>
    <row r="163" spans="2:7" x14ac:dyDescent="0.2">
      <c r="B163">
        <v>0.17877519239351064</v>
      </c>
      <c r="C163">
        <v>0.12916107287824405</v>
      </c>
      <c r="D163">
        <v>5.9501986512046891E-2</v>
      </c>
      <c r="E163">
        <v>3.5027796619498182E-2</v>
      </c>
      <c r="F163">
        <v>2.6748086704276804E-2</v>
      </c>
      <c r="G163">
        <v>1.1187985323033452E-2</v>
      </c>
    </row>
    <row r="164" spans="2:7" x14ac:dyDescent="0.2">
      <c r="B164">
        <v>0.17764443770417779</v>
      </c>
      <c r="C164">
        <v>0.12766571672661003</v>
      </c>
      <c r="D164">
        <v>5.8348850147561082E-2</v>
      </c>
      <c r="E164">
        <v>3.4267112014081356E-2</v>
      </c>
      <c r="F164">
        <v>2.6150419886824563E-2</v>
      </c>
      <c r="G164">
        <v>1.0930019571694314E-2</v>
      </c>
    </row>
    <row r="165" spans="2:7" x14ac:dyDescent="0.2">
      <c r="B165">
        <v>0.17652198915993397</v>
      </c>
      <c r="C165">
        <v>0.12619392679820318</v>
      </c>
      <c r="D165">
        <v>5.7231745358765004E-2</v>
      </c>
      <c r="E165">
        <v>3.3534320083166827E-2</v>
      </c>
      <c r="F165">
        <v>2.5575623281544717E-2</v>
      </c>
      <c r="G165">
        <v>1.0682474485615111E-2</v>
      </c>
    </row>
    <row r="166" spans="2:7" x14ac:dyDescent="0.2">
      <c r="B166">
        <v>0.17540781004134093</v>
      </c>
      <c r="C166">
        <v>0.12474533234661765</v>
      </c>
      <c r="D166">
        <v>5.6149208588072652E-2</v>
      </c>
      <c r="E166">
        <v>3.2828027756346218E-2</v>
      </c>
      <c r="F166">
        <v>2.5022489497436608E-2</v>
      </c>
      <c r="G166">
        <v>1.0444756504579655E-2</v>
      </c>
    </row>
    <row r="167" spans="2:7" x14ac:dyDescent="0.2">
      <c r="B167">
        <v>0.17430186299663736</v>
      </c>
      <c r="C167">
        <v>0.12331956521317716</v>
      </c>
      <c r="D167">
        <v>5.5099845629920818E-2</v>
      </c>
      <c r="E167">
        <v>3.2146927943981787E-2</v>
      </c>
      <c r="F167">
        <v>2.4489890937193483E-2</v>
      </c>
      <c r="G167">
        <v>1.0216315213347647E-2</v>
      </c>
    </row>
    <row r="168" spans="2:7" x14ac:dyDescent="0.2">
      <c r="B168">
        <v>0.17320411006325742</v>
      </c>
      <c r="C168">
        <v>0.12191626003501277</v>
      </c>
      <c r="D168">
        <v>5.4082328114651537E-2</v>
      </c>
      <c r="E168">
        <v>3.1489793345050685E-2</v>
      </c>
      <c r="F168">
        <v>2.3976773553390611E-2</v>
      </c>
      <c r="G168">
        <v>9.9966395592118069E-3</v>
      </c>
    </row>
    <row r="169" spans="2:7" x14ac:dyDescent="0.2">
      <c r="B169">
        <v>0.17211451268919004</v>
      </c>
      <c r="C169">
        <v>0.12053505443793179</v>
      </c>
      <c r="D169">
        <v>5.3095390161222666E-2</v>
      </c>
      <c r="E169">
        <v>3.0855470754632068E-2</v>
      </c>
      <c r="F169">
        <v>2.3482151162195118E-2</v>
      </c>
      <c r="G169">
        <v>9.7852544552492829E-3</v>
      </c>
    </row>
    <row r="170" spans="2:7" x14ac:dyDescent="0.2">
      <c r="B170">
        <v>0.1710330317541682</v>
      </c>
      <c r="C170">
        <v>0.11917558921461632</v>
      </c>
      <c r="D170">
        <v>5.2137825193692047E-2</v>
      </c>
      <c r="E170">
        <v>3.0242875827384989E-2</v>
      </c>
      <c r="F170">
        <v>2.3005100259318009E-2</v>
      </c>
      <c r="G170">
        <v>9.5817177246632634E-3</v>
      </c>
    </row>
    <row r="171" spans="2:7" x14ac:dyDescent="0.2">
      <c r="B171">
        <v>0.16995962759067601</v>
      </c>
      <c r="C171">
        <v>0.11783750848869529</v>
      </c>
      <c r="D171">
        <v>5.1208482915996729E-2</v>
      </c>
      <c r="E171">
        <v>2.9650988257347674E-2</v>
      </c>
      <c r="F171">
        <v>2.2544755288879975E-2</v>
      </c>
      <c r="G171">
        <v>9.3856173473530098E-3</v>
      </c>
    </row>
    <row r="172" spans="2:7" x14ac:dyDescent="0.2">
      <c r="B172">
        <v>0.16889426000476365</v>
      </c>
      <c r="C172">
        <v>0.1165204598652384</v>
      </c>
      <c r="D172">
        <v>5.0306266439249521E-2</v>
      </c>
      <c r="E172">
        <v>2.907884733801392E-2</v>
      </c>
      <c r="F172">
        <v>2.2100304321134304E-2</v>
      </c>
      <c r="G172">
        <v>9.1965689747818269E-3</v>
      </c>
    </row>
    <row r="173" spans="2:7" x14ac:dyDescent="0.2">
      <c r="B173">
        <v>0.16783688829665894</v>
      </c>
      <c r="C173">
        <v>0.11522409456821983</v>
      </c>
      <c r="D173">
        <v>4.9430129555586691E-2</v>
      </c>
      <c r="E173">
        <v>2.8525547869931826E-2</v>
      </c>
      <c r="F173">
        <v>2.1670985099660006E-2</v>
      </c>
      <c r="G173">
        <v>9.0142136834558198E-3</v>
      </c>
    </row>
    <row r="174" spans="2:7" x14ac:dyDescent="0.2">
      <c r="B174">
        <v>0.16678747128116778</v>
      </c>
      <c r="C174">
        <v>0.11394806756549798</v>
      </c>
      <c r="D174">
        <v>4.8579074152498666E-2</v>
      </c>
      <c r="E174">
        <v>2.7990236386058229E-2</v>
      </c>
      <c r="F174">
        <v>2.125608142277851E-2</v>
      </c>
      <c r="G174">
        <v>8.8382159409884226E-3</v>
      </c>
    </row>
    <row r="175" spans="2:7" x14ac:dyDescent="0.2">
      <c r="B175">
        <v>0.16574596730785249</v>
      </c>
      <c r="C175">
        <v>0.11269203768185487</v>
      </c>
      <c r="D175">
        <v>4.7752147761549332E-2</v>
      </c>
      <c r="E175">
        <v>2.7472107667810254E-2</v>
      </c>
      <c r="F175">
        <v>2.0854919827622196E-2</v>
      </c>
      <c r="G175">
        <v>8.6682617618895966E-3</v>
      </c>
    </row>
    <row r="176" spans="2:7" x14ac:dyDescent="0.2">
      <c r="B176">
        <v>0.16471233428098017</v>
      </c>
      <c r="C176">
        <v>0.11145566770063241</v>
      </c>
      <c r="D176">
        <v>4.694844123541897E-2</v>
      </c>
      <c r="E176">
        <v>2.6970401527213275E-2</v>
      </c>
      <c r="F176">
        <v>2.0466866548546327E-2</v>
      </c>
      <c r="G176">
        <v>8.5040570329613357E-3</v>
      </c>
    </row>
    <row r="177" spans="2:7" x14ac:dyDescent="0.2">
      <c r="B177">
        <v>0.16368652967923272</v>
      </c>
      <c r="C177">
        <v>0.11023862445449471</v>
      </c>
      <c r="D177">
        <v>4.6167086547284727E-2</v>
      </c>
      <c r="E177">
        <v>2.6484399832769061E-2</v>
      </c>
      <c r="F177">
        <v>2.0091324724476702E-2</v>
      </c>
      <c r="G177">
        <v>8.3453259905612032E-3</v>
      </c>
    </row>
    <row r="178" spans="2:7" x14ac:dyDescent="0.2">
      <c r="B178">
        <v>0.16266851057517134</v>
      </c>
      <c r="C178">
        <v>0.10904057890584017</v>
      </c>
      <c r="D178">
        <v>4.5407254706670758E-2</v>
      </c>
      <c r="E178">
        <v>2.601342375868617E-2</v>
      </c>
      <c r="F178">
        <v>1.9727731832366147E-2</v>
      </c>
      <c r="G178">
        <v>8.1918098340659044E-3</v>
      </c>
    </row>
    <row r="179" spans="2:7" x14ac:dyDescent="0.2">
      <c r="B179">
        <v>0.16165823365444734</v>
      </c>
      <c r="C179">
        <v>0.10786120621737287</v>
      </c>
      <c r="D179">
        <v>4.4668153786043427E-2</v>
      </c>
      <c r="E179">
        <v>2.5556831238942111E-2</v>
      </c>
      <c r="F179">
        <v>1.937555732623112E-2</v>
      </c>
      <c r="G179">
        <v>8.0432654616722377E-3</v>
      </c>
    </row>
    <row r="180" spans="2:7" x14ac:dyDescent="0.2">
      <c r="B180">
        <v>0.16065565523475378</v>
      </c>
      <c r="C180">
        <v>0.10670018581333529</v>
      </c>
      <c r="D180">
        <v>4.3949027052596609E-2</v>
      </c>
      <c r="E180">
        <v>2.5114014609302272E-2</v>
      </c>
      <c r="F180">
        <v>1.9034300463288176E-2</v>
      </c>
      <c r="G180">
        <v>7.8994643162480574E-3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2021-05-26T15:37:27Z</dcterms:created>
  <dcterms:modified xsi:type="dcterms:W3CDTF">2021-05-28T14:41:47Z</dcterms:modified>
</cp:coreProperties>
</file>